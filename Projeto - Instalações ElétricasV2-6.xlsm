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60" windowWidth="20055" windowHeight="7950" tabRatio="636" activeTab="2"/>
  </bookViews>
  <sheets>
    <sheet name="Parte 1" sheetId="1" r:id="rId1"/>
    <sheet name="Parte 2" sheetId="4" r:id="rId2"/>
    <sheet name="Eletrodutos" sheetId="11" r:id="rId3"/>
    <sheet name="Plan2" sheetId="2" r:id="rId4"/>
    <sheet name="Tabelas" sheetId="3" r:id="rId5"/>
    <sheet name="Tabela36" sheetId="5" r:id="rId6"/>
    <sheet name="TAbela 37" sheetId="6" r:id="rId7"/>
    <sheet name="Tabela 38" sheetId="7" r:id="rId8"/>
    <sheet name="Queda" sheetId="8" r:id="rId9"/>
    <sheet name="Tabela 48" sheetId="9" r:id="rId10"/>
    <sheet name="Tabela 58" sheetId="10" r:id="rId11"/>
  </sheets>
  <calcPr calcId="124519"/>
</workbook>
</file>

<file path=xl/calcChain.xml><?xml version="1.0" encoding="utf-8"?>
<calcChain xmlns="http://schemas.openxmlformats.org/spreadsheetml/2006/main">
  <c r="C24" i="4"/>
  <c r="D24" s="1"/>
  <c r="E24" s="1"/>
  <c r="F24" s="1"/>
  <c r="C25"/>
  <c r="D25" s="1"/>
  <c r="E25" s="1"/>
  <c r="F25" s="1"/>
  <c r="C26"/>
  <c r="D26" s="1"/>
  <c r="E26" s="1"/>
  <c r="F26" s="1"/>
  <c r="C27"/>
  <c r="D27" s="1"/>
  <c r="E27" s="1"/>
  <c r="F27" s="1"/>
  <c r="C28"/>
  <c r="D28" s="1"/>
  <c r="E28" s="1"/>
  <c r="F28" s="1"/>
  <c r="C29"/>
  <c r="D29" s="1"/>
  <c r="E29" s="1"/>
  <c r="F29" s="1"/>
  <c r="C30"/>
  <c r="D30" s="1"/>
  <c r="E30" s="1"/>
  <c r="F30" s="1"/>
  <c r="C31"/>
  <c r="D31" s="1"/>
  <c r="E31" s="1"/>
  <c r="F31" s="1"/>
  <c r="C32"/>
  <c r="D32" s="1"/>
  <c r="E32" s="1"/>
  <c r="F32" s="1"/>
  <c r="C33"/>
  <c r="D33" s="1"/>
  <c r="E33" s="1"/>
  <c r="F33" s="1"/>
  <c r="C34"/>
  <c r="D34" s="1"/>
  <c r="E34" s="1"/>
  <c r="F34" s="1"/>
  <c r="C35"/>
  <c r="D35" s="1"/>
  <c r="E35" s="1"/>
  <c r="F35" s="1"/>
  <c r="C36"/>
  <c r="D36" s="1"/>
  <c r="E36" s="1"/>
  <c r="F36" s="1"/>
  <c r="C37"/>
  <c r="D37" s="1"/>
  <c r="E37" s="1"/>
  <c r="F37" s="1"/>
  <c r="C38"/>
  <c r="D38" s="1"/>
  <c r="E38" s="1"/>
  <c r="F38" s="1"/>
  <c r="C39"/>
  <c r="D39" s="1"/>
  <c r="E39" s="1"/>
  <c r="F39" s="1"/>
  <c r="C40"/>
  <c r="D40" s="1"/>
  <c r="E40" s="1"/>
  <c r="F40" s="1"/>
  <c r="C41"/>
  <c r="D41" s="1"/>
  <c r="E41" s="1"/>
  <c r="F41" s="1"/>
  <c r="AA16" i="11"/>
  <c r="AA17"/>
  <c r="AA18"/>
  <c r="AA19"/>
  <c r="AA20"/>
  <c r="AA21"/>
  <c r="AA22"/>
  <c r="AA23"/>
  <c r="B4"/>
  <c r="N20" s="1"/>
  <c r="C4"/>
  <c r="O16" s="1"/>
  <c r="O19"/>
  <c r="O22"/>
  <c r="O23"/>
  <c r="N16"/>
  <c r="N22"/>
  <c r="C10"/>
  <c r="C11" s="1"/>
  <c r="D10"/>
  <c r="E10"/>
  <c r="E11" s="1"/>
  <c r="F10"/>
  <c r="G10"/>
  <c r="G11" s="1"/>
  <c r="H10"/>
  <c r="D11"/>
  <c r="F11"/>
  <c r="H11"/>
  <c r="B10"/>
  <c r="B11" s="1"/>
  <c r="D4"/>
  <c r="P15" s="1"/>
  <c r="E4"/>
  <c r="Q19" s="1"/>
  <c r="F4"/>
  <c r="R16" s="1"/>
  <c r="G4"/>
  <c r="S17" s="1"/>
  <c r="H4"/>
  <c r="T15" s="1"/>
  <c r="I4"/>
  <c r="U19" s="1"/>
  <c r="J4"/>
  <c r="V16" s="1"/>
  <c r="K4"/>
  <c r="W17" s="1"/>
  <c r="L4"/>
  <c r="X15" s="1"/>
  <c r="M4"/>
  <c r="Y19" s="1"/>
  <c r="L9" i="8"/>
  <c r="M9"/>
  <c r="N9"/>
  <c r="O9"/>
  <c r="P9"/>
  <c r="L10"/>
  <c r="M10"/>
  <c r="N10"/>
  <c r="O10"/>
  <c r="P10"/>
  <c r="L11"/>
  <c r="M11"/>
  <c r="N11"/>
  <c r="O11"/>
  <c r="P11"/>
  <c r="L12"/>
  <c r="M12"/>
  <c r="N12"/>
  <c r="O12"/>
  <c r="P12"/>
  <c r="L13"/>
  <c r="M13"/>
  <c r="N13"/>
  <c r="O13"/>
  <c r="P13"/>
  <c r="L14"/>
  <c r="M14"/>
  <c r="N14"/>
  <c r="O14"/>
  <c r="P14"/>
  <c r="L15"/>
  <c r="M15"/>
  <c r="N15"/>
  <c r="O15"/>
  <c r="P15"/>
  <c r="L16"/>
  <c r="M16"/>
  <c r="N16"/>
  <c r="O16"/>
  <c r="P16"/>
  <c r="L17"/>
  <c r="M17"/>
  <c r="N17"/>
  <c r="O17"/>
  <c r="P17"/>
  <c r="L18"/>
  <c r="M18"/>
  <c r="N18"/>
  <c r="O18"/>
  <c r="P18"/>
  <c r="M8"/>
  <c r="N8"/>
  <c r="O8"/>
  <c r="P8"/>
  <c r="L8"/>
  <c r="B9"/>
  <c r="C9"/>
  <c r="D9"/>
  <c r="E9"/>
  <c r="F9"/>
  <c r="B10"/>
  <c r="C10"/>
  <c r="D10"/>
  <c r="E10"/>
  <c r="F10"/>
  <c r="B11"/>
  <c r="C11"/>
  <c r="D11"/>
  <c r="E11"/>
  <c r="F11"/>
  <c r="B12"/>
  <c r="C12"/>
  <c r="D12"/>
  <c r="E12"/>
  <c r="F12"/>
  <c r="B13"/>
  <c r="C13"/>
  <c r="D13"/>
  <c r="E13"/>
  <c r="F13"/>
  <c r="B14"/>
  <c r="C14"/>
  <c r="D14"/>
  <c r="E14"/>
  <c r="F14"/>
  <c r="B15"/>
  <c r="C15"/>
  <c r="D15"/>
  <c r="E15"/>
  <c r="F15"/>
  <c r="B16"/>
  <c r="C16"/>
  <c r="D16"/>
  <c r="E16"/>
  <c r="F16"/>
  <c r="B17"/>
  <c r="C17"/>
  <c r="D17"/>
  <c r="E17"/>
  <c r="F17"/>
  <c r="B18"/>
  <c r="C18"/>
  <c r="D18"/>
  <c r="E18"/>
  <c r="F18"/>
  <c r="C8"/>
  <c r="D8"/>
  <c r="E8"/>
  <c r="F8"/>
  <c r="B8"/>
  <c r="F18" i="3"/>
  <c r="F17"/>
  <c r="F16"/>
  <c r="F15"/>
  <c r="F14"/>
  <c r="F13"/>
  <c r="F12"/>
  <c r="F11"/>
  <c r="F10"/>
  <c r="F9"/>
  <c r="F8"/>
  <c r="F7"/>
  <c r="F6"/>
  <c r="F5"/>
  <c r="F4"/>
  <c r="K4" i="2"/>
  <c r="K5"/>
  <c r="K6"/>
  <c r="K7"/>
  <c r="K3"/>
  <c r="J4"/>
  <c r="J5"/>
  <c r="J6"/>
  <c r="J7"/>
  <c r="J3"/>
  <c r="Q20" i="11" l="1"/>
  <c r="U20"/>
  <c r="Y20"/>
  <c r="Q17"/>
  <c r="W23"/>
  <c r="S23"/>
  <c r="V22"/>
  <c r="R22"/>
  <c r="Y21"/>
  <c r="U21"/>
  <c r="Q21"/>
  <c r="X20"/>
  <c r="T20"/>
  <c r="P20"/>
  <c r="V19"/>
  <c r="R19"/>
  <c r="Y18"/>
  <c r="U18"/>
  <c r="Q18"/>
  <c r="X17"/>
  <c r="T17"/>
  <c r="P17"/>
  <c r="W16"/>
  <c r="S16"/>
  <c r="Y15"/>
  <c r="U15"/>
  <c r="Q15"/>
  <c r="X23"/>
  <c r="T23"/>
  <c r="P23"/>
  <c r="W22"/>
  <c r="S22"/>
  <c r="V21"/>
  <c r="R21"/>
  <c r="W19"/>
  <c r="S19"/>
  <c r="V18"/>
  <c r="R18"/>
  <c r="Y17"/>
  <c r="U17"/>
  <c r="X16"/>
  <c r="T16"/>
  <c r="P16"/>
  <c r="V15"/>
  <c r="R15"/>
  <c r="Y23"/>
  <c r="U23"/>
  <c r="Q23"/>
  <c r="X22"/>
  <c r="T22"/>
  <c r="P22"/>
  <c r="W21"/>
  <c r="S21"/>
  <c r="O21"/>
  <c r="V20"/>
  <c r="R20"/>
  <c r="X19"/>
  <c r="T19"/>
  <c r="P19"/>
  <c r="W18"/>
  <c r="S18"/>
  <c r="Z18" s="1"/>
  <c r="O18"/>
  <c r="V17"/>
  <c r="R17"/>
  <c r="Y16"/>
  <c r="U16"/>
  <c r="Q16"/>
  <c r="W15"/>
  <c r="S15"/>
  <c r="O15"/>
  <c r="V23"/>
  <c r="R23"/>
  <c r="Y22"/>
  <c r="U22"/>
  <c r="Q22"/>
  <c r="X21"/>
  <c r="T21"/>
  <c r="P21"/>
  <c r="W20"/>
  <c r="S20"/>
  <c r="X18"/>
  <c r="T18"/>
  <c r="P18"/>
  <c r="O17"/>
  <c r="N23"/>
  <c r="Z23" s="1"/>
  <c r="N18"/>
  <c r="N15"/>
  <c r="N19"/>
  <c r="N17"/>
  <c r="Z17" s="1"/>
  <c r="O20"/>
  <c r="N21"/>
  <c r="Z16" l="1"/>
  <c r="Z20"/>
  <c r="Z22"/>
  <c r="Z21"/>
  <c r="Z15"/>
  <c r="AA15" s="1"/>
  <c r="Z19"/>
</calcChain>
</file>

<file path=xl/comments1.xml><?xml version="1.0" encoding="utf-8"?>
<comments xmlns="http://schemas.openxmlformats.org/spreadsheetml/2006/main">
  <authors>
    <author>Netzer</author>
  </authors>
  <commentList>
    <comment ref="U3" authorId="0">
      <text>
        <r>
          <rPr>
            <b/>
            <sz val="9"/>
            <color indexed="81"/>
            <rFont val="Tahoma"/>
            <family val="2"/>
          </rPr>
          <t xml:space="preserve">Quantidade de circuitos agrupados no eletroduto correspondente
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Consultar tabela 33 da norma e selecionar 
o método de referência correspondente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Selecionar para métodos F ou G</t>
        </r>
      </text>
    </comment>
    <comment ref="AC3" authorId="0">
      <text>
        <r>
          <rPr>
            <b/>
            <sz val="9"/>
            <color indexed="81"/>
            <rFont val="Tahoma"/>
            <family val="2"/>
          </rPr>
          <t>Conforme critério da máima condução de corrente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Conforme tabela 47 da norma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Aplicar critério somente para distâncias muito grandes (Ex Cicuitos de distribuição</t>
        </r>
      </text>
    </comment>
  </commentList>
</comments>
</file>

<file path=xl/sharedStrings.xml><?xml version="1.0" encoding="utf-8"?>
<sst xmlns="http://schemas.openxmlformats.org/spreadsheetml/2006/main" count="435" uniqueCount="253">
  <si>
    <t>Ambiente</t>
  </si>
  <si>
    <t>Dimensões</t>
  </si>
  <si>
    <t>Área
(m²)</t>
  </si>
  <si>
    <t>Perímetro
(m)</t>
  </si>
  <si>
    <t xml:space="preserve">Cozinha </t>
  </si>
  <si>
    <t xml:space="preserve">2,50 x 3,00 </t>
  </si>
  <si>
    <t>Torneira</t>
  </si>
  <si>
    <t xml:space="preserve">Área de Serviço </t>
  </si>
  <si>
    <t xml:space="preserve">1,50 x 3,00 </t>
  </si>
  <si>
    <t xml:space="preserve">Dormitório </t>
  </si>
  <si>
    <t xml:space="preserve">2,50 x 4,50 </t>
  </si>
  <si>
    <t xml:space="preserve">Sala </t>
  </si>
  <si>
    <t xml:space="preserve">4,20 x 3,00 </t>
  </si>
  <si>
    <t xml:space="preserve">Banheiro </t>
  </si>
  <si>
    <t xml:space="preserve">1,30 x 2,50 </t>
  </si>
  <si>
    <t>Chuveiro</t>
  </si>
  <si>
    <t xml:space="preserve">Critério </t>
  </si>
  <si>
    <t xml:space="preserve">Quant.
Ptos. de luz </t>
  </si>
  <si>
    <t>&lt; 6m²</t>
  </si>
  <si>
    <t>&gt; 6m²</t>
  </si>
  <si>
    <t>Cozinha</t>
  </si>
  <si>
    <t>Garagem</t>
  </si>
  <si>
    <t>Dormitório 1</t>
  </si>
  <si>
    <t>Área de Serviço</t>
  </si>
  <si>
    <t>Sala</t>
  </si>
  <si>
    <t>Corredor</t>
  </si>
  <si>
    <t>Dormitório 2</t>
  </si>
  <si>
    <t>Dormitório 3</t>
  </si>
  <si>
    <t>Suíte 1</t>
  </si>
  <si>
    <t>Suíte 2</t>
  </si>
  <si>
    <t>Suíte 3</t>
  </si>
  <si>
    <t>Hall</t>
  </si>
  <si>
    <t>Amb</t>
  </si>
  <si>
    <t>Dim</t>
  </si>
  <si>
    <t>A</t>
  </si>
  <si>
    <t>P</t>
  </si>
  <si>
    <t>Ambientes 
selecionar</t>
  </si>
  <si>
    <t>Area</t>
  </si>
  <si>
    <t>Molhada</t>
  </si>
  <si>
    <t>Copa</t>
  </si>
  <si>
    <t>Copa-Cozinha</t>
  </si>
  <si>
    <t>Lavanderia</t>
  </si>
  <si>
    <t>Varanda</t>
  </si>
  <si>
    <t>Seca</t>
  </si>
  <si>
    <t>Potência
(VA)</t>
  </si>
  <si>
    <t>Critério</t>
  </si>
  <si>
    <t>Quant.
TUGs 600 VA</t>
  </si>
  <si>
    <t>Quant.
TUGs 100 VA</t>
  </si>
  <si>
    <t>Obs.</t>
  </si>
  <si>
    <t>TUE
Nome</t>
  </si>
  <si>
    <t>Potencia TUE
(W)</t>
  </si>
  <si>
    <t xml:space="preserve">Potencia
(VA) </t>
  </si>
  <si>
    <t>Area
Molhada?</t>
  </si>
  <si>
    <t>2 tomadas acima da pia
Tomadas a meia altura</t>
  </si>
  <si>
    <t>Tomadas a meia altura</t>
  </si>
  <si>
    <t>Banheiro</t>
  </si>
  <si>
    <t>Junto ao Lavatório
&gt;60cm do boxe</t>
  </si>
  <si>
    <t>Informações da planta</t>
  </si>
  <si>
    <t>Informações de Tomadas de
Uso Específico (TUEs)</t>
  </si>
  <si>
    <t>TUEs
Pot. total</t>
  </si>
  <si>
    <t>TUGs
Pot. total</t>
  </si>
  <si>
    <t>Iluminação
Pot. total</t>
  </si>
  <si>
    <t>Tipo de
 Circuito</t>
  </si>
  <si>
    <t>FP</t>
  </si>
  <si>
    <t>Potencia
(VA)</t>
  </si>
  <si>
    <t>Potencia
(W)</t>
  </si>
  <si>
    <t>Iluminação</t>
  </si>
  <si>
    <t>TUGs</t>
  </si>
  <si>
    <t>Potencia
Total (W)</t>
  </si>
  <si>
    <t>1 ponto
a cada 3,5m</t>
  </si>
  <si>
    <t>1 ponto
minimo</t>
  </si>
  <si>
    <t>1 ponto
a cada 5m</t>
  </si>
  <si>
    <t>TUEs</t>
  </si>
  <si>
    <t>Tensão
Nominal (V)</t>
  </si>
  <si>
    <t>Bifásico
2F+1N</t>
  </si>
  <si>
    <t>Fator de Demanda</t>
  </si>
  <si>
    <t xml:space="preserve">FD </t>
  </si>
  <si>
    <t>Faixa de potência</t>
  </si>
  <si>
    <t>FD</t>
  </si>
  <si>
    <t>TUGs e Ilum</t>
  </si>
  <si>
    <t xml:space="preserve">N° Circuitos </t>
  </si>
  <si>
    <t>TUES</t>
  </si>
  <si>
    <t>&gt;10kW</t>
  </si>
  <si>
    <t>Provável
Demanda (W)</t>
  </si>
  <si>
    <t>Potência
(W)</t>
  </si>
  <si>
    <t>Corrente
(A)</t>
  </si>
  <si>
    <t>Tabela Resumo - Previsão de Cargas</t>
  </si>
  <si>
    <t>Modalidade de Fornecimento</t>
  </si>
  <si>
    <t>Circuito de Distribuição</t>
  </si>
  <si>
    <t>Circuito</t>
  </si>
  <si>
    <t>Tipo</t>
  </si>
  <si>
    <t>CD</t>
  </si>
  <si>
    <t>Circuito 1</t>
  </si>
  <si>
    <t>Circuito 2</t>
  </si>
  <si>
    <t>Circuito 3</t>
  </si>
  <si>
    <t>Circuito 4</t>
  </si>
  <si>
    <t>Circuito 5</t>
  </si>
  <si>
    <t>Circuito 6</t>
  </si>
  <si>
    <t>Circuito 7</t>
  </si>
  <si>
    <t>Circuito 8</t>
  </si>
  <si>
    <t>Circuito 9</t>
  </si>
  <si>
    <t>Circuito 10</t>
  </si>
  <si>
    <t>Circuito 11</t>
  </si>
  <si>
    <t>Circuito 12</t>
  </si>
  <si>
    <t>Circuito 13</t>
  </si>
  <si>
    <t>Circuito 14</t>
  </si>
  <si>
    <t>Circuito 15</t>
  </si>
  <si>
    <t>Circuito 16</t>
  </si>
  <si>
    <t>Circuito 17</t>
  </si>
  <si>
    <t>Circuito 18</t>
  </si>
  <si>
    <t>Circuito 19</t>
  </si>
  <si>
    <t>Circuito 20</t>
  </si>
  <si>
    <t>Ambiente2</t>
  </si>
  <si>
    <t>Potência do Circuito</t>
  </si>
  <si>
    <t>Distribuição de cargas</t>
  </si>
  <si>
    <t>Ambiente3</t>
  </si>
  <si>
    <t>Ambiente4</t>
  </si>
  <si>
    <t>Fase
1</t>
  </si>
  <si>
    <t>Fase
2</t>
  </si>
  <si>
    <t>Fase
3</t>
  </si>
  <si>
    <t>x</t>
  </si>
  <si>
    <t>7920 W</t>
  </si>
  <si>
    <t>8400 W</t>
  </si>
  <si>
    <t>0 W</t>
  </si>
  <si>
    <t>Balanceamento
de cargas</t>
  </si>
  <si>
    <t>Tensão
(V)</t>
  </si>
  <si>
    <t>Condutores
Carregados</t>
  </si>
  <si>
    <t>Método de Referência</t>
  </si>
  <si>
    <t>Material
Condutor</t>
  </si>
  <si>
    <t>Cobre</t>
  </si>
  <si>
    <t>Alumínio</t>
  </si>
  <si>
    <t>Isolação</t>
  </si>
  <si>
    <t>PVC 70°</t>
  </si>
  <si>
    <t>EPR ou XLPE 90°</t>
  </si>
  <si>
    <t>Ar</t>
  </si>
  <si>
    <t>Solo</t>
  </si>
  <si>
    <t>Temperatura
(°C)</t>
  </si>
  <si>
    <t>PVC???</t>
  </si>
  <si>
    <t>FCT</t>
  </si>
  <si>
    <t>FCA</t>
  </si>
  <si>
    <t>Corrente
Corrigida (A)</t>
  </si>
  <si>
    <t>Características da Instalação</t>
  </si>
  <si>
    <t>Fatores de correção de temperatura e agrupamento</t>
  </si>
  <si>
    <t>Ambiente do
Eletroduto</t>
  </si>
  <si>
    <t>Circuitos
Agrupados</t>
  </si>
  <si>
    <t>A1 - Condutores isolados em eletroduto de seção circular embutido na parede termicamente isolante</t>
  </si>
  <si>
    <t>A2 - Cabo multipolar em eletroduto de seção circular embutido na parede termicamente isolante</t>
  </si>
  <si>
    <t>B1 - Condutores isolados em eletroduto de seção circular sobre parede de madeira</t>
  </si>
  <si>
    <t xml:space="preserve">B2 - Cabo multipolar em eletroduto de seção circular sobre parede de madeira </t>
  </si>
  <si>
    <t>C - Cabos unipolares ou cabo multipolar sobre parede de madeira</t>
  </si>
  <si>
    <t>D - Cabo multipolar em eletroduto enterrado no solo</t>
  </si>
  <si>
    <t>E - Cabo unipolar ao Ar livre</t>
  </si>
  <si>
    <t>F - Cabos unipolares justapostos ao ar livre</t>
  </si>
  <si>
    <t>G - Cabos unipolares espaçados ao ar livre</t>
  </si>
  <si>
    <t>Forma de Agrupamento dos Condutores</t>
  </si>
  <si>
    <t>1 - Em feixe: Ao ar livre ou sobre superfície; Embutidos; em conduto fechado</t>
  </si>
  <si>
    <t>2 - Camada única sobre parede, piso, ou em bandeja não perfurada ou prateleira</t>
  </si>
  <si>
    <t>3 - Camada única no teto</t>
  </si>
  <si>
    <t>4 - Camada única em bandeja perfurada</t>
  </si>
  <si>
    <t>5 - Camada única sobre leito, suporte, etc.</t>
  </si>
  <si>
    <t>Seções Nominais mm²</t>
  </si>
  <si>
    <t>Métodos de Referência indicados na Tabela 33</t>
  </si>
  <si>
    <t>A1</t>
  </si>
  <si>
    <t>A2</t>
  </si>
  <si>
    <t>B1</t>
  </si>
  <si>
    <t>B2</t>
  </si>
  <si>
    <t>C</t>
  </si>
  <si>
    <t>D</t>
  </si>
  <si>
    <t>Número de condutores carregados</t>
  </si>
  <si>
    <t>Cabos Unipolares</t>
  </si>
  <si>
    <t>Cabos Multipolares</t>
  </si>
  <si>
    <t>E</t>
  </si>
  <si>
    <t>F</t>
  </si>
  <si>
    <t>G</t>
  </si>
  <si>
    <t>Justapostos</t>
  </si>
  <si>
    <t>Espaçados</t>
  </si>
  <si>
    <t>Horizontal</t>
  </si>
  <si>
    <t>Vertical</t>
  </si>
  <si>
    <t>2 cond.
carregados</t>
  </si>
  <si>
    <t>3 cond.
carregados</t>
  </si>
  <si>
    <t>2 cond.
Carregados
justapostos</t>
  </si>
  <si>
    <t>3 cond.
carregados
em trifólio</t>
  </si>
  <si>
    <t>Seções
Nominais
mm²</t>
  </si>
  <si>
    <t>3 condutores carregados no
mesmo plano</t>
  </si>
  <si>
    <t>Observações adicionais</t>
  </si>
  <si>
    <t>Método F - 3 Condutores carregados em trifólio</t>
  </si>
  <si>
    <t>Método F - 3 Condutores carregados no mesmo plano e justapostos</t>
  </si>
  <si>
    <t>Método G - 3 Condutores carregados no mesmo plano e espaçados - Horizontal</t>
  </si>
  <si>
    <t>Método G - 3 Condutores carregados no mesmo plano e espaçados - Vertical</t>
  </si>
  <si>
    <t>Seções nominais
(mm²)</t>
  </si>
  <si>
    <t>Ver manual do produto</t>
  </si>
  <si>
    <t>Seção mínima
(mm²)</t>
  </si>
  <si>
    <t>Dimensionamento de condutores</t>
  </si>
  <si>
    <t>Comprimento condutor
(m)</t>
  </si>
  <si>
    <t>Queda de tensão
(e%)</t>
  </si>
  <si>
    <t>Tensão:</t>
  </si>
  <si>
    <t>V</t>
  </si>
  <si>
    <t>Rô cabo:</t>
  </si>
  <si>
    <t>ohms x mm² / m</t>
  </si>
  <si>
    <t>Soma de Potências x distâncias (W x m) V = 127 volts</t>
  </si>
  <si>
    <t>Bitola fio</t>
  </si>
  <si>
    <t>Queda de tensão e%</t>
  </si>
  <si>
    <t>mm²</t>
  </si>
  <si>
    <t>Soma de Potências x distâncias (W x m) V = 220 volts</t>
  </si>
  <si>
    <t>Para circuitos trifásicos, multiplicar as distâncias por 0,866</t>
  </si>
  <si>
    <t>Não Aplicar</t>
  </si>
  <si>
    <t>Dimensionamento segundo critério da máxima queda de tensão admissível</t>
  </si>
  <si>
    <t>Condutor Fase
(mm²)</t>
  </si>
  <si>
    <t>Condutor Neutro
(mm²)</t>
  </si>
  <si>
    <t>Condutor Terra
(mm²)</t>
  </si>
  <si>
    <t>Seção dos condutores de fase
mm2</t>
  </si>
  <si>
    <t>Seção reduzida do condutor neutro
mm2</t>
  </si>
  <si>
    <t>S</t>
  </si>
  <si>
    <t>As condições de utilização desta tabela são dadas em 6.2.6.2.6.</t>
  </si>
  <si>
    <t>S &lt; 16</t>
  </si>
  <si>
    <t>&gt;35</t>
  </si>
  <si>
    <t>S/2</t>
  </si>
  <si>
    <t>Disjuntor</t>
  </si>
  <si>
    <t>6A</t>
  </si>
  <si>
    <t>16A</t>
  </si>
  <si>
    <t>25A</t>
  </si>
  <si>
    <t>Condutores e Disjuntores</t>
  </si>
  <si>
    <t>Seção (mm²)</t>
  </si>
  <si>
    <t>Área (mm²)</t>
  </si>
  <si>
    <t>Dados de especificação dos condutores</t>
  </si>
  <si>
    <t>Diam Externo (mm)</t>
  </si>
  <si>
    <t>Dados de especificação de eletrodutos</t>
  </si>
  <si>
    <t>Diam Nominal (mm)</t>
  </si>
  <si>
    <t>Rosca "</t>
  </si>
  <si>
    <t>Diam Interno (mm)</t>
  </si>
  <si>
    <t>Área Interna (mm²)</t>
  </si>
  <si>
    <t>3/8</t>
  </si>
  <si>
    <t>1/2</t>
  </si>
  <si>
    <t>3/4</t>
  </si>
  <si>
    <t>1</t>
  </si>
  <si>
    <t>1 1/4</t>
  </si>
  <si>
    <t>1 1/2</t>
  </si>
  <si>
    <t>Área Int. (40%) (mm²)</t>
  </si>
  <si>
    <t>Cabos</t>
  </si>
  <si>
    <t>Rota A</t>
  </si>
  <si>
    <t>Rota B</t>
  </si>
  <si>
    <t>Rota C</t>
  </si>
  <si>
    <t>Rota D</t>
  </si>
  <si>
    <t>Rota E</t>
  </si>
  <si>
    <t>Rota F</t>
  </si>
  <si>
    <t>Rota G</t>
  </si>
  <si>
    <t>Rota H</t>
  </si>
  <si>
    <t>Rota I</t>
  </si>
  <si>
    <t>Quantidades de cabos por rota</t>
  </si>
  <si>
    <t>Cálculo de Área</t>
  </si>
  <si>
    <t>Área Ocupada
(mm²)</t>
  </si>
  <si>
    <t>Eletroduto Área mínima
(mm²)</t>
  </si>
  <si>
    <t>80A</t>
  </si>
</sst>
</file>

<file path=xl/styles.xml><?xml version="1.0" encoding="utf-8"?>
<styleSheet xmlns="http://schemas.openxmlformats.org/spreadsheetml/2006/main">
  <numFmts count="3">
    <numFmt numFmtId="43" formatCode="_-* #,##0.00_-;\-* #,##0.00_-;_-* &quot;-&quot;??_-;_-@_-"/>
    <numFmt numFmtId="164" formatCode="0.0"/>
    <numFmt numFmtId="165" formatCode="_-* #,##0_-;\-* #,##0_-;_-* &quot;-&quot;??_-;_-@_-"/>
  </numFmts>
  <fonts count="1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i/>
      <sz val="12"/>
      <color rgb="FF000000"/>
      <name val="Calibri"/>
      <family val="2"/>
    </font>
    <font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medium">
        <color theme="6"/>
      </left>
      <right style="thin">
        <color theme="6"/>
      </right>
      <top style="medium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medium">
        <color theme="6"/>
      </top>
      <bottom style="thin">
        <color theme="6"/>
      </bottom>
      <diagonal/>
    </border>
    <border>
      <left style="thin">
        <color theme="6"/>
      </left>
      <right style="medium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/>
      <right style="thin">
        <color theme="6"/>
      </right>
      <top style="medium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 style="thin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 style="thin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medium">
        <color theme="6"/>
      </right>
      <top/>
      <bottom style="thin">
        <color theme="6"/>
      </bottom>
      <diagonal/>
    </border>
    <border>
      <left style="medium">
        <color theme="6"/>
      </left>
      <right style="thin">
        <color theme="6"/>
      </right>
      <top style="medium">
        <color theme="6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theme="6"/>
      </top>
      <bottom style="medium">
        <color theme="6"/>
      </bottom>
      <diagonal/>
    </border>
    <border>
      <left style="thin">
        <color theme="6"/>
      </left>
      <right style="medium">
        <color theme="6"/>
      </right>
      <top style="medium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medium">
        <color theme="6"/>
      </bottom>
      <diagonal/>
    </border>
    <border>
      <left style="medium">
        <color theme="6"/>
      </left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 style="medium">
        <color theme="6"/>
      </right>
      <top/>
      <bottom/>
      <diagonal/>
    </border>
    <border>
      <left style="medium">
        <color theme="6"/>
      </left>
      <right style="medium">
        <color theme="6"/>
      </right>
      <top/>
      <bottom style="medium">
        <color theme="6"/>
      </bottom>
      <diagonal/>
    </border>
    <border>
      <left style="thin">
        <color theme="6"/>
      </left>
      <right/>
      <top style="medium">
        <color theme="6"/>
      </top>
      <bottom style="thin">
        <color theme="6"/>
      </bottom>
      <diagonal/>
    </border>
  </borders>
  <cellStyleXfs count="3">
    <xf numFmtId="0" fontId="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67">
    <xf numFmtId="0" fontId="0" fillId="0" borderId="0" xfId="0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9" fontId="0" fillId="0" borderId="0" xfId="2" applyFont="1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9" fontId="0" fillId="0" borderId="0" xfId="0" applyNumberForma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/>
    <xf numFmtId="0" fontId="0" fillId="0" borderId="0" xfId="0" quotePrefix="1" applyFill="1" applyBorder="1" applyAlignment="1">
      <alignment horizontal="center"/>
    </xf>
    <xf numFmtId="0" fontId="0" fillId="0" borderId="13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4" borderId="21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/>
    </xf>
    <xf numFmtId="2" fontId="0" fillId="3" borderId="23" xfId="0" applyNumberFormat="1" applyFill="1" applyBorder="1" applyAlignment="1">
      <alignment horizontal="center"/>
    </xf>
    <xf numFmtId="2" fontId="0" fillId="3" borderId="24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7" xfId="0" applyBorder="1"/>
    <xf numFmtId="0" fontId="0" fillId="0" borderId="28" xfId="0" applyFill="1" applyBorder="1"/>
    <xf numFmtId="0" fontId="0" fillId="0" borderId="29" xfId="0" applyFill="1" applyBorder="1"/>
    <xf numFmtId="0" fontId="0" fillId="4" borderId="15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/>
    </xf>
    <xf numFmtId="0" fontId="0" fillId="4" borderId="29" xfId="0" applyFill="1" applyBorder="1"/>
    <xf numFmtId="0" fontId="0" fillId="0" borderId="30" xfId="0" applyFill="1" applyBorder="1" applyAlignment="1">
      <alignment horizontal="center"/>
    </xf>
    <xf numFmtId="0" fontId="0" fillId="0" borderId="31" xfId="0" quotePrefix="1" applyFill="1" applyBorder="1" applyAlignment="1">
      <alignment horizontal="center"/>
    </xf>
    <xf numFmtId="0" fontId="0" fillId="0" borderId="16" xfId="0" quotePrefix="1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4" borderId="36" xfId="0" applyFill="1" applyBorder="1"/>
    <xf numFmtId="0" fontId="0" fillId="0" borderId="27" xfId="0" applyFill="1" applyBorder="1"/>
    <xf numFmtId="0" fontId="0" fillId="0" borderId="1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4" borderId="37" xfId="0" applyFill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41" xfId="0" applyFill="1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4" borderId="40" xfId="0" applyFill="1" applyBorder="1" applyAlignment="1">
      <alignment horizontal="center" wrapText="1"/>
    </xf>
    <xf numFmtId="0" fontId="0" fillId="4" borderId="42" xfId="0" applyFill="1" applyBorder="1" applyAlignment="1">
      <alignment horizontal="center" wrapText="1"/>
    </xf>
    <xf numFmtId="0" fontId="0" fillId="4" borderId="42" xfId="0" applyFill="1" applyBorder="1" applyAlignment="1">
      <alignment horizontal="center"/>
    </xf>
    <xf numFmtId="0" fontId="3" fillId="0" borderId="0" xfId="0" applyFont="1" applyAlignment="1">
      <alignment vertical="center"/>
    </xf>
  </cellXfs>
  <cellStyles count="3">
    <cellStyle name="Normal" xfId="0" builtinId="0"/>
    <cellStyle name="Porcentagem" xfId="2" builtinId="5"/>
    <cellStyle name="Separador de milhares" xfId="1" builtinId="3"/>
  </cellStyles>
  <dxfs count="80"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bottom" textRotation="0" indent="0" relativeIndent="255" justifyLastLine="0" shrinkToFit="0" mergeCell="0" readingOrder="0"/>
    </dxf>
    <dxf>
      <alignment horizontal="center" vertical="bottom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0" formatCode="General"/>
      <alignment horizontal="center" vertical="center" textRotation="0" wrapText="1" indent="0" relativeIndent="0" justifyLastLine="0" shrinkToFit="0" mergeCell="0" readingOrder="0"/>
    </dxf>
    <dxf>
      <numFmt numFmtId="0" formatCode="General"/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0" formatCode="General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0" formatCode="General"/>
      <alignment horizontal="center" vertical="center" textRotation="0" wrapText="0" indent="0" relativeIndent="0" justifyLastLine="0" shrinkToFit="0" mergeCell="0" readingOrder="0"/>
    </dxf>
    <dxf>
      <font>
        <b val="0"/>
        <i/>
        <strike val="0"/>
        <outline val="0"/>
        <shadow val="0"/>
        <u val="none"/>
        <vertAlign val="baseline"/>
        <sz val="12"/>
        <name val="Calibri"/>
      </font>
      <alignment horizontal="center" vertical="center" textRotation="0" wrapText="0" indent="0" relativeIndent="0" justifyLastLine="0" shrinkToFit="0" mergeCell="0" readingOrder="0"/>
    </dxf>
    <dxf>
      <font>
        <b val="0"/>
        <i/>
        <strike val="0"/>
        <outline val="0"/>
        <shadow val="0"/>
        <u val="none"/>
        <vertAlign val="baseline"/>
        <sz val="12"/>
        <name val="Calibri"/>
      </font>
      <alignment horizontal="center" vertical="center" textRotation="0" wrapText="0" indent="0" relativeIndent="0" justifyLastLine="0" shrinkToFit="0" mergeCell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numFmt numFmtId="0" formatCode="General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fill>
        <patternFill>
          <fgColor indexed="64"/>
        </patternFill>
      </fill>
      <alignment horizontal="center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6" name="Tabela1" displayName="Tabela1" ref="A3:E21" totalsRowShown="0" headerRowDxfId="79" dataDxfId="78">
  <autoFilter ref="A3:E21">
    <filterColumn colId="1"/>
  </autoFilter>
  <tableColumns count="5">
    <tableColumn id="1" name="Ambiente" dataDxfId="77"/>
    <tableColumn id="5" name="Area&#10;Molhada?" dataDxfId="76"/>
    <tableColumn id="2" name="Dimensões" dataDxfId="75"/>
    <tableColumn id="3" name="Área&#10;(m²)" dataDxfId="74"/>
    <tableColumn id="4" name="Perímetro&#10;(m)" dataDxfId="73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id="7" name="TUES" displayName="TUES" ref="G3:H21" totalsRowShown="0" headerRowDxfId="72" dataDxfId="71">
  <autoFilter ref="G3:H21"/>
  <tableColumns count="2">
    <tableColumn id="1" name="TUE&#10;Nome" dataDxfId="70"/>
    <tableColumn id="2" name="Potencia TUE&#10;(W)" dataDxfId="69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id="9" name="Iluminacao" displayName="Iluminacao" ref="P3:R21" totalsRowShown="0" headerRowDxfId="68" dataDxfId="67">
  <autoFilter ref="P3:R21">
    <filterColumn colId="1"/>
    <filterColumn colId="2"/>
  </autoFilter>
  <tableColumns count="3">
    <tableColumn id="1" name="Critério " dataDxfId="66"/>
    <tableColumn id="2" name="Potencia&#10;(VA) " dataDxfId="65"/>
    <tableColumn id="3" name="Quant.&#10;Ptos. de luz " dataDxfId="64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id="1" name="tTUGS" displayName="tTUGS" ref="J3:N21" totalsRowShown="0" headerRowDxfId="63" dataDxfId="62">
  <autoFilter ref="J3:N21">
    <filterColumn colId="4"/>
  </autoFilter>
  <tableColumns count="5">
    <tableColumn id="1" name="Critério" dataDxfId="61"/>
    <tableColumn id="2" name="Quant.&#10;TUGs 600 VA" dataDxfId="60"/>
    <tableColumn id="3" name="Quant.&#10;TUGs 100 VA" dataDxfId="59"/>
    <tableColumn id="4" name="Potência&#10;(VA)" dataDxfId="58"/>
    <tableColumn id="5" name="Obs." dataDxfId="57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T3:W21" totalsRowShown="0" headerRowDxfId="56" dataDxfId="55">
  <autoFilter ref="T3:W21"/>
  <tableColumns count="4">
    <tableColumn id="1" name="Tipo de&#10; Circuito" dataDxfId="54"/>
    <tableColumn id="2" name="FP" dataDxfId="53"/>
    <tableColumn id="3" name="Potencia&#10;(VA)" dataDxfId="52"/>
    <tableColumn id="4" name="Potencia&#10;(W)" dataDxfId="51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id="3" name="Tabela3" displayName="Tabela3" ref="Y3:AC21" totalsRowShown="0" dataDxfId="50">
  <autoFilter ref="Y3:AC21"/>
  <tableColumns count="5">
    <tableColumn id="1" name="Modalidade de Fornecimento" dataDxfId="49"/>
    <tableColumn id="2" name="Tensão&#10;Nominal (V)" dataDxfId="48"/>
    <tableColumn id="3" name="Provável&#10;Demanda (W)" dataDxfId="47"/>
    <tableColumn id="4" name="Potência&#10;(W)" dataDxfId="46"/>
    <tableColumn id="5" name="Corrente&#10;(A)" dataDxfId="45"/>
  </tableColumns>
  <tableStyleInfo name="TableStyleLight18" showFirstColumn="0" showLastColumn="0" showRowStripes="1" showColumnStripes="0"/>
</table>
</file>

<file path=xl/tables/table7.xml><?xml version="1.0" encoding="utf-8"?>
<table xmlns="http://schemas.openxmlformats.org/spreadsheetml/2006/main" id="5" name="Tabela46" displayName="Tabela46" ref="A3:G21" totalsRowShown="0" headerRowDxfId="44" dataDxfId="43">
  <autoFilter ref="A3:G21"/>
  <tableColumns count="7">
    <tableColumn id="1" name="Circuito" dataDxfId="42"/>
    <tableColumn id="8" name="Tipo" dataDxfId="41"/>
    <tableColumn id="11" name="Ambiente" dataDxfId="40"/>
    <tableColumn id="14" name="Ambiente2" dataDxfId="39"/>
    <tableColumn id="13" name="Ambiente3" dataDxfId="38"/>
    <tableColumn id="12" name="Ambiente4" dataDxfId="37"/>
    <tableColumn id="4" name="Potência do Circuito" dataDxfId="36"/>
  </tableColumns>
  <tableStyleInfo name="TableStyleLight18" showFirstColumn="0" showLastColumn="0" showRowStripes="1" showColumnStripes="0"/>
</table>
</file>

<file path=xl/tables/table8.xml><?xml version="1.0" encoding="utf-8"?>
<table xmlns="http://schemas.openxmlformats.org/spreadsheetml/2006/main" id="8" name="Tabela8" displayName="Tabela8" ref="I3:M21" totalsRowShown="0" headerRowDxfId="35" dataDxfId="34">
  <autoFilter ref="I3:M21">
    <filterColumn colId="4"/>
  </autoFilter>
  <tableColumns count="5">
    <tableColumn id="1" name="Fase&#10;1" dataDxfId="33"/>
    <tableColumn id="2" name="Fase&#10;2" dataDxfId="32"/>
    <tableColumn id="3" name="Fase&#10;3" dataDxfId="31"/>
    <tableColumn id="4" name="Tensão&#10;(V)" dataDxfId="30"/>
    <tableColumn id="5" name="Corrente&#10;(A)" dataDxfId="29"/>
  </tableColumns>
  <tableStyleInfo name="TableStyleLight18" showFirstColumn="0" showLastColumn="0" showRowStripes="1" showColumnStripes="0"/>
</table>
</file>

<file path=xl/tables/table9.xml><?xml version="1.0" encoding="utf-8"?>
<table xmlns="http://schemas.openxmlformats.org/spreadsheetml/2006/main" id="11" name="Tabela11" displayName="Tabela11" ref="S3:Y21" totalsRowShown="0" headerRowDxfId="28" dataDxfId="27">
  <autoFilter ref="S3:Y21">
    <filterColumn colId="3"/>
    <filterColumn colId="4"/>
  </autoFilter>
  <tableColumns count="7">
    <tableColumn id="1" name="Ambiente do&#10;Eletroduto" dataDxfId="26"/>
    <tableColumn id="2" name="Temperatura&#10;(°C)" dataDxfId="25"/>
    <tableColumn id="3" name="Circuitos&#10;Agrupados" dataDxfId="24"/>
    <tableColumn id="7" name="Forma de Agrupamento dos Condutores" dataDxfId="23"/>
    <tableColumn id="4" name="FCT" dataDxfId="0"/>
    <tableColumn id="5" name="FCA" dataDxfId="22"/>
    <tableColumn id="6" name="Corrente&#10;Corrigida (A)" dataDxfId="21"/>
  </tableColumns>
  <tableStyleInfo name="TableStyleLight18" showFirstColumn="0" showLastColumn="0" showRowStripes="1" showColumnStripes="0"/>
</table>
</file>

<file path=xl/tables/table10.xml><?xml version="1.0" encoding="utf-8"?>
<table xmlns="http://schemas.openxmlformats.org/spreadsheetml/2006/main" id="4" name="Tabela4" displayName="Tabela4" ref="O3:Q21" totalsRowShown="0" headerRowDxfId="20">
  <autoFilter ref="O3:Q21"/>
  <tableColumns count="3">
    <tableColumn id="1" name="Material&#10;Condutor" dataDxfId="19"/>
    <tableColumn id="2" name="Isolação" dataDxfId="18"/>
    <tableColumn id="3" name="Condutores&#10;Carregados" dataDxfId="17"/>
  </tableColumns>
  <tableStyleInfo name="TableStyleLight18" showFirstColumn="0" showLastColumn="0" showRowStripes="1" showColumnStripes="0"/>
</table>
</file>

<file path=xl/tables/table11.xml><?xml version="1.0" encoding="utf-8"?>
<table xmlns="http://schemas.openxmlformats.org/spreadsheetml/2006/main" id="12" name="Tabela1013" displayName="Tabela1013" ref="AA3:AD21" totalsRowShown="0" headerRowDxfId="16">
  <autoFilter ref="AA3:AD21">
    <filterColumn colId="1"/>
    <filterColumn colId="2"/>
    <filterColumn colId="3"/>
  </autoFilter>
  <tableColumns count="4">
    <tableColumn id="1" name="Método de Referência" dataDxfId="15"/>
    <tableColumn id="2" name="Observações adicionais" dataDxfId="14"/>
    <tableColumn id="3" name="Seções nominais&#10;(mm²)" dataDxfId="13"/>
    <tableColumn id="4" name="Seção mínima&#10;(mm²)" dataDxfId="12"/>
  </tableColumns>
  <tableStyleInfo name="TableStyleLight18" showFirstColumn="0" showLastColumn="0" showRowStripes="1" showColumnStripes="0"/>
</table>
</file>

<file path=xl/tables/table12.xml><?xml version="1.0" encoding="utf-8"?>
<table xmlns="http://schemas.openxmlformats.org/spreadsheetml/2006/main" id="10" name="Tabela10" displayName="Tabela10" ref="AF3:AH21" totalsRowShown="0" headerRowDxfId="11" dataDxfId="10">
  <autoFilter ref="AF3:AH21"/>
  <tableColumns count="3">
    <tableColumn id="1" name="Comprimento condutor&#10;(m)" dataDxfId="9"/>
    <tableColumn id="2" name="Queda de tensão&#10;(e%)" dataDxfId="8" dataCellStyle="Porcentagem"/>
    <tableColumn id="3" name="Seções nominais&#10;(mm²)" dataDxfId="7"/>
  </tableColumns>
  <tableStyleInfo name="TableStyleLight18" showFirstColumn="0" showLastColumn="0" showRowStripes="1" showColumnStripes="0"/>
</table>
</file>

<file path=xl/tables/table13.xml><?xml version="1.0" encoding="utf-8"?>
<table xmlns="http://schemas.openxmlformats.org/spreadsheetml/2006/main" id="13" name="Tabela13" displayName="Tabela13" ref="AJ3:AM21" totalsRowShown="0" headerRowDxfId="6" dataDxfId="5">
  <autoFilter ref="AJ3:AM21">
    <filterColumn colId="3"/>
  </autoFilter>
  <tableColumns count="4">
    <tableColumn id="1" name="Condutor Fase&#10;(mm²)" dataDxfId="4"/>
    <tableColumn id="2" name="Condutor Neutro&#10;(mm²)" dataDxfId="3"/>
    <tableColumn id="3" name="Condutor Terra&#10;(mm²)" dataDxfId="2"/>
    <tableColumn id="4" name="Disjuntor" dataDxfId="1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AZ26"/>
  <sheetViews>
    <sheetView workbookViewId="0">
      <pane xSplit="6" ySplit="3" topLeftCell="V4" activePane="bottomRight" state="frozen"/>
      <selection pane="topRight" activeCell="F1" sqref="F1"/>
      <selection pane="bottomLeft" activeCell="A2" sqref="A2"/>
      <selection pane="bottomRight" activeCell="AB4" sqref="AB4"/>
    </sheetView>
  </sheetViews>
  <sheetFormatPr defaultColWidth="15.28515625" defaultRowHeight="15" outlineLevelCol="1"/>
  <cols>
    <col min="1" max="1" width="15.7109375" style="2" customWidth="1"/>
    <col min="2" max="2" width="14.42578125" style="2" bestFit="1" customWidth="1"/>
    <col min="3" max="3" width="15.7109375" style="2" customWidth="1"/>
    <col min="4" max="4" width="9.7109375" style="2" bestFit="1" customWidth="1"/>
    <col min="5" max="5" width="14.5703125" style="2" bestFit="1" customWidth="1"/>
    <col min="6" max="6" width="2.7109375" style="6" customWidth="1"/>
    <col min="7" max="8" width="15.7109375" style="2" customWidth="1"/>
    <col min="9" max="9" width="2.7109375" style="11" customWidth="1"/>
    <col min="10" max="10" width="12.28515625" style="2" bestFit="1" customWidth="1"/>
    <col min="11" max="12" width="16.7109375" style="2" bestFit="1" customWidth="1"/>
    <col min="13" max="13" width="13.28515625" style="2" bestFit="1" customWidth="1"/>
    <col min="14" max="14" width="33.140625" style="2" customWidth="1"/>
    <col min="15" max="15" width="2.7109375" style="6" customWidth="1"/>
    <col min="16" max="18" width="15.7109375" style="2" customWidth="1" outlineLevel="1"/>
    <col min="19" max="19" width="2.7109375" style="6" customWidth="1"/>
    <col min="20" max="23" width="15.28515625" style="8"/>
    <col min="24" max="24" width="1.7109375" style="14" customWidth="1"/>
    <col min="25" max="25" width="19.140625" style="15" bestFit="1" customWidth="1"/>
    <col min="26" max="26" width="16.28515625" style="2" bestFit="1" customWidth="1"/>
    <col min="27" max="27" width="18" style="2" bestFit="1" customWidth="1"/>
    <col min="28" max="28" width="13.28515625" style="16" bestFit="1" customWidth="1"/>
    <col min="29" max="29" width="13.42578125" style="16" bestFit="1" customWidth="1"/>
    <col min="30" max="30" width="2.7109375" style="6" customWidth="1"/>
    <col min="31" max="50" width="15.28515625" style="2"/>
    <col min="51" max="51" width="14.85546875" style="2" bestFit="1" customWidth="1"/>
    <col min="52" max="52" width="8.7109375" style="2" bestFit="1" customWidth="1"/>
    <col min="53" max="16384" width="15.28515625" style="2"/>
  </cols>
  <sheetData>
    <row r="1" spans="1:52" ht="29.25" customHeight="1">
      <c r="A1" s="2">
        <v>1</v>
      </c>
      <c r="B1" s="2">
        <v>2</v>
      </c>
      <c r="C1" s="2">
        <v>3</v>
      </c>
      <c r="D1" s="2">
        <v>4</v>
      </c>
      <c r="E1" s="2">
        <v>5</v>
      </c>
      <c r="F1" s="6">
        <v>6</v>
      </c>
      <c r="G1" s="2">
        <v>7</v>
      </c>
      <c r="H1" s="2">
        <v>8</v>
      </c>
      <c r="I1" s="6">
        <v>9</v>
      </c>
      <c r="J1" s="2">
        <v>10</v>
      </c>
      <c r="K1" s="2">
        <v>11</v>
      </c>
      <c r="L1" s="2">
        <v>12</v>
      </c>
      <c r="M1" s="2">
        <v>13</v>
      </c>
      <c r="N1" s="2">
        <v>14</v>
      </c>
      <c r="O1" s="6">
        <v>15</v>
      </c>
      <c r="P1" s="2">
        <v>16</v>
      </c>
      <c r="Q1" s="2">
        <v>17</v>
      </c>
      <c r="R1" s="2">
        <v>18</v>
      </c>
      <c r="S1" s="6">
        <v>19</v>
      </c>
      <c r="T1" s="2">
        <v>20</v>
      </c>
      <c r="U1" s="2">
        <v>21</v>
      </c>
      <c r="V1" s="2">
        <v>22</v>
      </c>
      <c r="W1" s="2">
        <v>23</v>
      </c>
      <c r="X1" s="6">
        <v>24</v>
      </c>
      <c r="Y1" s="15">
        <v>25</v>
      </c>
      <c r="Z1" s="2">
        <v>26</v>
      </c>
      <c r="AA1" s="2">
        <v>27</v>
      </c>
      <c r="AB1" s="16">
        <v>28</v>
      </c>
      <c r="AC1" s="16">
        <v>29</v>
      </c>
      <c r="AD1" s="6">
        <v>30</v>
      </c>
      <c r="AE1" s="22">
        <v>31</v>
      </c>
      <c r="AF1" s="18">
        <v>32</v>
      </c>
      <c r="AG1" s="22">
        <v>33</v>
      </c>
      <c r="AH1" s="26">
        <v>34</v>
      </c>
      <c r="AI1" s="22">
        <v>35</v>
      </c>
      <c r="AJ1" s="26">
        <v>36</v>
      </c>
      <c r="AK1" s="22">
        <v>37</v>
      </c>
      <c r="AL1" s="26">
        <v>38</v>
      </c>
      <c r="AM1" s="22">
        <v>39</v>
      </c>
      <c r="AN1" s="26">
        <v>40</v>
      </c>
      <c r="AO1" s="22">
        <v>41</v>
      </c>
      <c r="AP1" s="26">
        <v>42</v>
      </c>
      <c r="AQ1" s="22">
        <v>43</v>
      </c>
      <c r="AR1" s="26">
        <v>44</v>
      </c>
      <c r="AS1" s="22">
        <v>45</v>
      </c>
      <c r="AT1" s="26">
        <v>46</v>
      </c>
      <c r="AU1" s="22">
        <v>47</v>
      </c>
      <c r="AV1" s="26">
        <v>48</v>
      </c>
      <c r="AW1" s="22">
        <v>49</v>
      </c>
      <c r="AX1" s="26">
        <v>50</v>
      </c>
      <c r="AY1" s="22">
        <v>51</v>
      </c>
      <c r="AZ1" s="26">
        <v>52</v>
      </c>
    </row>
    <row r="2" spans="1:52" ht="29.25" customHeight="1">
      <c r="A2" s="71" t="s">
        <v>57</v>
      </c>
      <c r="B2" s="71"/>
      <c r="C2" s="71"/>
      <c r="D2" s="71"/>
      <c r="E2" s="71"/>
      <c r="G2" s="72" t="s">
        <v>58</v>
      </c>
      <c r="H2" s="72"/>
      <c r="T2" s="73" t="s">
        <v>86</v>
      </c>
      <c r="U2" s="73"/>
      <c r="V2" s="73"/>
      <c r="W2" s="73"/>
      <c r="Y2" s="71" t="s">
        <v>88</v>
      </c>
      <c r="Z2" s="71"/>
      <c r="AA2" s="71"/>
      <c r="AB2" s="71"/>
      <c r="AC2" s="71"/>
    </row>
    <row r="3" spans="1:52" ht="30">
      <c r="A3" s="1" t="s">
        <v>0</v>
      </c>
      <c r="B3" s="1" t="s">
        <v>52</v>
      </c>
      <c r="C3" s="3" t="s">
        <v>1</v>
      </c>
      <c r="D3" s="4" t="s">
        <v>2</v>
      </c>
      <c r="E3" s="5" t="s">
        <v>3</v>
      </c>
      <c r="G3" s="1" t="s">
        <v>49</v>
      </c>
      <c r="H3" s="1" t="s">
        <v>50</v>
      </c>
      <c r="I3" s="12"/>
      <c r="J3" s="2" t="s">
        <v>45</v>
      </c>
      <c r="K3" s="7" t="s">
        <v>46</v>
      </c>
      <c r="L3" s="7" t="s">
        <v>47</v>
      </c>
      <c r="M3" s="7" t="s">
        <v>44</v>
      </c>
      <c r="N3" s="7" t="s">
        <v>48</v>
      </c>
      <c r="O3" s="13"/>
      <c r="P3" s="2" t="s">
        <v>16</v>
      </c>
      <c r="Q3" s="7" t="s">
        <v>51</v>
      </c>
      <c r="R3" s="7" t="s">
        <v>17</v>
      </c>
      <c r="T3" s="9" t="s">
        <v>62</v>
      </c>
      <c r="U3" s="8" t="s">
        <v>63</v>
      </c>
      <c r="V3" s="9" t="s">
        <v>64</v>
      </c>
      <c r="W3" s="9" t="s">
        <v>65</v>
      </c>
      <c r="Y3" s="22" t="s">
        <v>87</v>
      </c>
      <c r="Z3" s="16" t="s">
        <v>73</v>
      </c>
      <c r="AA3" s="16" t="s">
        <v>83</v>
      </c>
      <c r="AB3" s="16" t="s">
        <v>84</v>
      </c>
      <c r="AC3" s="16" t="s">
        <v>85</v>
      </c>
      <c r="AY3" s="7" t="s">
        <v>36</v>
      </c>
      <c r="AZ3" s="2" t="s">
        <v>37</v>
      </c>
    </row>
    <row r="4" spans="1:52" ht="30">
      <c r="A4" s="1" t="s">
        <v>20</v>
      </c>
      <c r="B4" s="1" t="s">
        <v>38</v>
      </c>
      <c r="C4" s="8" t="s">
        <v>5</v>
      </c>
      <c r="D4" s="8">
        <v>7.5</v>
      </c>
      <c r="E4" s="8">
        <v>11</v>
      </c>
      <c r="G4" s="2" t="s">
        <v>6</v>
      </c>
      <c r="H4" s="1">
        <v>4400</v>
      </c>
      <c r="J4" s="68" t="s">
        <v>69</v>
      </c>
      <c r="K4" s="8">
        <v>3</v>
      </c>
      <c r="L4" s="8">
        <v>1</v>
      </c>
      <c r="M4" s="8">
        <v>1900</v>
      </c>
      <c r="N4" s="66" t="s">
        <v>53</v>
      </c>
      <c r="P4" s="65" t="s">
        <v>19</v>
      </c>
      <c r="Q4" s="2">
        <v>100</v>
      </c>
      <c r="R4" s="7">
        <v>1</v>
      </c>
      <c r="S4" s="10"/>
      <c r="T4" s="67" t="s">
        <v>66</v>
      </c>
      <c r="U4" s="8">
        <v>1</v>
      </c>
      <c r="V4" s="8">
        <v>620</v>
      </c>
      <c r="W4" s="8">
        <v>620</v>
      </c>
      <c r="Y4" s="22" t="s">
        <v>74</v>
      </c>
      <c r="Z4" s="2">
        <v>220</v>
      </c>
      <c r="AA4" s="2">
        <v>13160.8</v>
      </c>
      <c r="AB4" s="23">
        <v>13853.473684210527</v>
      </c>
      <c r="AC4" s="23">
        <v>62.970334928229668</v>
      </c>
      <c r="AY4" s="8" t="s">
        <v>20</v>
      </c>
      <c r="AZ4" s="2" t="s">
        <v>38</v>
      </c>
    </row>
    <row r="5" spans="1:52" ht="30">
      <c r="A5" s="1" t="s">
        <v>23</v>
      </c>
      <c r="B5" s="1" t="s">
        <v>38</v>
      </c>
      <c r="C5" s="8" t="s">
        <v>8</v>
      </c>
      <c r="D5" s="8">
        <v>4.5</v>
      </c>
      <c r="E5" s="8">
        <v>9</v>
      </c>
      <c r="H5" s="1"/>
      <c r="J5" s="68" t="s">
        <v>69</v>
      </c>
      <c r="K5" s="8">
        <v>3</v>
      </c>
      <c r="L5" s="8">
        <v>0</v>
      </c>
      <c r="M5" s="8">
        <v>1800</v>
      </c>
      <c r="N5" s="66" t="s">
        <v>54</v>
      </c>
      <c r="P5" s="65" t="s">
        <v>18</v>
      </c>
      <c r="Q5" s="2">
        <v>100</v>
      </c>
      <c r="R5" s="2">
        <v>1</v>
      </c>
      <c r="T5" s="67" t="s">
        <v>67</v>
      </c>
      <c r="U5" s="8">
        <v>0.8</v>
      </c>
      <c r="V5" s="8">
        <v>4900</v>
      </c>
      <c r="W5" s="8">
        <v>3920</v>
      </c>
      <c r="AY5" s="2" t="s">
        <v>39</v>
      </c>
      <c r="AZ5" s="2" t="s">
        <v>43</v>
      </c>
    </row>
    <row r="6" spans="1:52" ht="30">
      <c r="A6" s="1" t="s">
        <v>55</v>
      </c>
      <c r="B6" s="1" t="s">
        <v>38</v>
      </c>
      <c r="C6" s="8" t="s">
        <v>14</v>
      </c>
      <c r="D6" s="8">
        <v>3.25</v>
      </c>
      <c r="E6" s="8">
        <v>7.6</v>
      </c>
      <c r="G6" s="2" t="s">
        <v>15</v>
      </c>
      <c r="H6" s="1">
        <v>6400</v>
      </c>
      <c r="J6" s="68" t="s">
        <v>70</v>
      </c>
      <c r="K6" s="8">
        <v>1</v>
      </c>
      <c r="L6" s="8">
        <v>0</v>
      </c>
      <c r="M6" s="8">
        <v>600</v>
      </c>
      <c r="N6" s="66" t="s">
        <v>56</v>
      </c>
      <c r="P6" s="65" t="s">
        <v>18</v>
      </c>
      <c r="Q6" s="2">
        <v>100</v>
      </c>
      <c r="R6" s="7">
        <v>1</v>
      </c>
      <c r="T6" s="67" t="s">
        <v>72</v>
      </c>
      <c r="U6" s="8">
        <v>1</v>
      </c>
      <c r="V6" s="8">
        <v>10800</v>
      </c>
      <c r="W6" s="8">
        <v>10800</v>
      </c>
      <c r="AY6" s="2" t="s">
        <v>40</v>
      </c>
    </row>
    <row r="7" spans="1:52" ht="30">
      <c r="A7" s="1" t="s">
        <v>24</v>
      </c>
      <c r="B7" s="1" t="s">
        <v>43</v>
      </c>
      <c r="C7" s="8" t="s">
        <v>12</v>
      </c>
      <c r="D7" s="8">
        <v>12.6</v>
      </c>
      <c r="E7" s="8">
        <v>14.4</v>
      </c>
      <c r="H7" s="1"/>
      <c r="J7" s="68" t="s">
        <v>71</v>
      </c>
      <c r="K7" s="8">
        <v>0</v>
      </c>
      <c r="L7" s="8">
        <v>3</v>
      </c>
      <c r="M7" s="8">
        <v>300</v>
      </c>
      <c r="P7" s="65" t="s">
        <v>19</v>
      </c>
      <c r="Q7" s="2">
        <v>160</v>
      </c>
      <c r="R7" s="2">
        <v>1</v>
      </c>
      <c r="AY7" s="2" t="s">
        <v>41</v>
      </c>
    </row>
    <row r="8" spans="1:52" ht="30">
      <c r="A8" s="1" t="s">
        <v>22</v>
      </c>
      <c r="B8" s="1" t="s">
        <v>43</v>
      </c>
      <c r="C8" s="8" t="s">
        <v>10</v>
      </c>
      <c r="D8" s="8">
        <v>11.25</v>
      </c>
      <c r="E8" s="8">
        <v>14</v>
      </c>
      <c r="J8" s="68" t="s">
        <v>71</v>
      </c>
      <c r="K8" s="8">
        <v>0</v>
      </c>
      <c r="L8" s="8">
        <v>3</v>
      </c>
      <c r="M8" s="8">
        <v>300</v>
      </c>
      <c r="P8" s="65" t="s">
        <v>19</v>
      </c>
      <c r="Q8" s="2">
        <v>160</v>
      </c>
      <c r="R8" s="2">
        <v>1</v>
      </c>
      <c r="AY8" s="8" t="s">
        <v>23</v>
      </c>
    </row>
    <row r="9" spans="1:52" ht="30">
      <c r="A9" s="1"/>
      <c r="B9" s="1"/>
      <c r="C9" s="1"/>
      <c r="D9" s="1"/>
      <c r="E9" s="1"/>
      <c r="G9" s="66" t="s">
        <v>59</v>
      </c>
      <c r="H9" s="2">
        <v>10800</v>
      </c>
      <c r="L9" s="66" t="s">
        <v>60</v>
      </c>
      <c r="M9" s="2">
        <v>4900</v>
      </c>
      <c r="P9" s="66" t="s">
        <v>61</v>
      </c>
      <c r="Q9" s="2">
        <v>620</v>
      </c>
      <c r="T9" s="9"/>
      <c r="U9" s="9"/>
      <c r="V9" s="68" t="s">
        <v>68</v>
      </c>
      <c r="W9" s="8">
        <v>15340</v>
      </c>
      <c r="AY9" s="8"/>
    </row>
    <row r="10" spans="1:52">
      <c r="A10" s="1"/>
      <c r="B10" s="1"/>
      <c r="C10" s="1"/>
      <c r="D10" s="1"/>
      <c r="E10" s="1"/>
      <c r="V10" s="9"/>
      <c r="AY10" s="2" t="s">
        <v>42</v>
      </c>
    </row>
    <row r="11" spans="1:52">
      <c r="A11" s="1"/>
      <c r="B11" s="1"/>
      <c r="D11" s="1"/>
      <c r="E11" s="1"/>
      <c r="V11" s="9"/>
      <c r="AY11" s="8" t="s">
        <v>24</v>
      </c>
    </row>
    <row r="12" spans="1:52">
      <c r="A12" s="1"/>
      <c r="B12" s="1"/>
      <c r="D12" s="1"/>
      <c r="E12" s="1"/>
      <c r="U12" s="9"/>
      <c r="V12" s="9"/>
      <c r="W12" s="21"/>
      <c r="AY12" s="8" t="s">
        <v>22</v>
      </c>
    </row>
    <row r="13" spans="1:52">
      <c r="A13" s="1"/>
      <c r="B13" s="1"/>
      <c r="D13" s="1"/>
      <c r="E13" s="1"/>
      <c r="U13" s="9"/>
      <c r="V13" s="9"/>
      <c r="W13" s="21"/>
      <c r="AY13" s="8" t="s">
        <v>26</v>
      </c>
    </row>
    <row r="14" spans="1:52">
      <c r="A14" s="1"/>
      <c r="B14" s="1"/>
      <c r="D14" s="1"/>
      <c r="E14" s="1"/>
      <c r="AY14" s="8" t="s">
        <v>27</v>
      </c>
    </row>
    <row r="15" spans="1:52">
      <c r="A15" s="1"/>
      <c r="B15" s="1"/>
      <c r="D15" s="1"/>
      <c r="E15" s="1"/>
      <c r="AY15" s="8" t="s">
        <v>28</v>
      </c>
    </row>
    <row r="16" spans="1:52">
      <c r="A16" s="1"/>
      <c r="B16" s="1"/>
      <c r="D16" s="1"/>
      <c r="E16" s="1"/>
      <c r="AY16" s="8" t="s">
        <v>29</v>
      </c>
    </row>
    <row r="17" spans="1:51">
      <c r="A17" s="1"/>
      <c r="B17" s="1"/>
      <c r="D17" s="1"/>
      <c r="E17" s="1"/>
      <c r="AY17" s="8" t="s">
        <v>30</v>
      </c>
    </row>
    <row r="18" spans="1:51">
      <c r="A18" s="1"/>
      <c r="B18" s="1"/>
      <c r="D18" s="1"/>
      <c r="E18" s="1"/>
      <c r="AY18" s="8" t="s">
        <v>25</v>
      </c>
    </row>
    <row r="19" spans="1:51">
      <c r="A19" s="1"/>
      <c r="B19" s="1"/>
      <c r="D19" s="1"/>
      <c r="E19" s="1"/>
      <c r="AY19" s="8" t="s">
        <v>31</v>
      </c>
    </row>
    <row r="20" spans="1:51">
      <c r="A20" s="1"/>
      <c r="B20" s="1"/>
      <c r="D20" s="1"/>
      <c r="E20" s="1"/>
      <c r="AY20" s="8" t="s">
        <v>21</v>
      </c>
    </row>
    <row r="21" spans="1:51">
      <c r="A21" s="1"/>
      <c r="B21" s="1"/>
      <c r="C21" s="1"/>
      <c r="D21" s="1"/>
      <c r="E21" s="1"/>
    </row>
    <row r="22" spans="1:51">
      <c r="C22" s="1"/>
      <c r="D22" s="1"/>
      <c r="E22" s="1"/>
    </row>
    <row r="23" spans="1:51">
      <c r="C23" s="1"/>
      <c r="D23" s="1"/>
      <c r="E23" s="1"/>
    </row>
    <row r="24" spans="1:51">
      <c r="C24" s="1"/>
      <c r="D24" s="1"/>
      <c r="E24" s="1"/>
    </row>
    <row r="25" spans="1:51">
      <c r="C25" s="1"/>
      <c r="D25" s="1"/>
      <c r="E25" s="1"/>
    </row>
    <row r="26" spans="1:51">
      <c r="C26" s="1"/>
      <c r="D26" s="1"/>
      <c r="E26" s="1"/>
    </row>
  </sheetData>
  <mergeCells count="4">
    <mergeCell ref="Y2:AC2"/>
    <mergeCell ref="G2:H2"/>
    <mergeCell ref="A2:E2"/>
    <mergeCell ref="T2:W2"/>
  </mergeCells>
  <dataValidations count="4">
    <dataValidation type="decimal" allowBlank="1" showInputMessage="1" showErrorMessage="1" sqref="D4:D1048576">
      <formula1>0</formula1>
      <formula2>100</formula2>
    </dataValidation>
    <dataValidation type="decimal" allowBlank="1" showInputMessage="1" showErrorMessage="1" sqref="E4:E1048576">
      <formula1>0</formula1>
      <formula2>150</formula2>
    </dataValidation>
    <dataValidation type="list" allowBlank="1" sqref="A4:A1048576">
      <formula1>$AY$4:$AY$20</formula1>
    </dataValidation>
    <dataValidation type="list" allowBlank="1" showErrorMessage="1" errorTitle="Erro" error="Por favor selecione entre Seca ou Molhada&#10;&#10;Esta ação é necessária porque alguns ambientes podem ser molhados e por este motivo as tomadas deverão ser posicionadas distantes do piso" sqref="B4:B1048576">
      <formula1>$AZ$4:$AZ$5</formula1>
    </dataValidation>
  </dataValidations>
  <pageMargins left="0.511811024" right="0.511811024" top="0.78740157499999996" bottom="0.78740157499999996" header="0.31496062000000002" footer="0.31496062000000002"/>
  <pageSetup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BD42"/>
  <sheetViews>
    <sheetView workbookViewId="0">
      <pane xSplit="1" ySplit="3" topLeftCell="AG4" activePane="bottomRight" state="frozen"/>
      <selection pane="topRight" activeCell="B1" sqref="B1"/>
      <selection pane="bottomLeft" activeCell="A4" sqref="A4"/>
      <selection pane="bottomRight" activeCell="AN5" sqref="AN5"/>
    </sheetView>
  </sheetViews>
  <sheetFormatPr defaultRowHeight="33" customHeight="1"/>
  <cols>
    <col min="1" max="1" width="15.28515625" style="25"/>
    <col min="2" max="6" width="15.28515625" style="26"/>
    <col min="7" max="7" width="15.28515625" style="25"/>
    <col min="8" max="8" width="2.7109375" style="6" customWidth="1"/>
    <col min="9" max="11" width="9.5703125" style="25" bestFit="1" customWidth="1"/>
    <col min="12" max="12" width="14.85546875" style="25" bestFit="1" customWidth="1"/>
    <col min="13" max="13" width="13.42578125" bestFit="1" customWidth="1"/>
    <col min="14" max="14" width="2.7109375" style="6" customWidth="1"/>
    <col min="15" max="15" width="13.85546875" style="9" bestFit="1" customWidth="1"/>
    <col min="16" max="16" width="12.7109375" style="9" bestFit="1" customWidth="1"/>
    <col min="17" max="17" width="15.85546875" style="27" bestFit="1" customWidth="1"/>
    <col min="18" max="18" width="2.7109375" style="6" customWidth="1"/>
    <col min="19" max="19" width="17.140625" style="27" bestFit="1" customWidth="1"/>
    <col min="20" max="20" width="17" style="27" bestFit="1" customWidth="1"/>
    <col min="21" max="21" width="15" style="27" bestFit="1" customWidth="1"/>
    <col min="22" max="22" width="41.5703125" style="9" bestFit="1" customWidth="1"/>
    <col min="23" max="23" width="8.7109375" style="60" bestFit="1" customWidth="1"/>
    <col min="24" max="24" width="9" bestFit="1" customWidth="1"/>
    <col min="25" max="25" width="16.7109375" bestFit="1" customWidth="1"/>
    <col min="26" max="26" width="2.7109375" style="6" customWidth="1"/>
    <col min="27" max="27" width="49" style="9" customWidth="1"/>
    <col min="28" max="28" width="38.42578125" customWidth="1"/>
    <col min="29" max="29" width="18.28515625" bestFit="1" customWidth="1"/>
    <col min="30" max="30" width="21.85546875" bestFit="1" customWidth="1"/>
    <col min="31" max="31" width="2.7109375" style="6" customWidth="1"/>
    <col min="32" max="32" width="22.140625" style="55" bestFit="1" customWidth="1"/>
    <col min="33" max="33" width="20.85546875" style="55" bestFit="1" customWidth="1"/>
    <col min="34" max="34" width="21.85546875" style="55" bestFit="1" customWidth="1"/>
    <col min="35" max="35" width="2.7109375" style="6" customWidth="1"/>
    <col min="36" max="38" width="22.5703125" style="58" customWidth="1"/>
    <col min="39" max="39" width="21.85546875" style="70" bestFit="1" customWidth="1"/>
  </cols>
  <sheetData>
    <row r="1" spans="1:56" s="33" customFormat="1" ht="15">
      <c r="A1" s="25">
        <v>1</v>
      </c>
      <c r="B1" s="26">
        <v>2</v>
      </c>
      <c r="C1" s="25">
        <v>3</v>
      </c>
      <c r="D1" s="26">
        <v>4</v>
      </c>
      <c r="E1" s="25">
        <v>5</v>
      </c>
      <c r="F1" s="26">
        <v>6</v>
      </c>
      <c r="G1" s="25">
        <v>7</v>
      </c>
      <c r="H1" s="6">
        <v>8</v>
      </c>
      <c r="I1" s="26">
        <v>9</v>
      </c>
      <c r="J1" s="25">
        <v>10</v>
      </c>
      <c r="K1" s="26">
        <v>11</v>
      </c>
      <c r="L1" s="25">
        <v>12</v>
      </c>
      <c r="M1" s="33">
        <v>13</v>
      </c>
      <c r="N1" s="6">
        <v>14</v>
      </c>
      <c r="O1" s="9">
        <v>15</v>
      </c>
      <c r="P1" s="9">
        <v>16</v>
      </c>
      <c r="Q1" s="9">
        <v>17</v>
      </c>
      <c r="R1" s="6">
        <v>18</v>
      </c>
      <c r="S1" s="27">
        <v>19</v>
      </c>
      <c r="T1" s="27">
        <v>20</v>
      </c>
      <c r="U1" s="37">
        <v>21</v>
      </c>
      <c r="V1" s="37">
        <v>22</v>
      </c>
      <c r="W1" s="67">
        <v>23</v>
      </c>
      <c r="X1" s="37">
        <v>24</v>
      </c>
      <c r="Y1" s="37">
        <v>25</v>
      </c>
      <c r="Z1" s="6">
        <v>26</v>
      </c>
      <c r="AA1" s="9">
        <v>27</v>
      </c>
      <c r="AB1" s="35">
        <v>28</v>
      </c>
      <c r="AC1" s="9">
        <v>29</v>
      </c>
      <c r="AD1" s="9">
        <v>30</v>
      </c>
      <c r="AE1" s="6">
        <v>31</v>
      </c>
      <c r="AF1" s="48">
        <v>32</v>
      </c>
      <c r="AG1" s="54">
        <v>33</v>
      </c>
      <c r="AH1" s="48">
        <v>34</v>
      </c>
      <c r="AI1" s="6">
        <v>35</v>
      </c>
      <c r="AJ1" s="58">
        <v>36</v>
      </c>
      <c r="AK1" s="58">
        <v>37</v>
      </c>
      <c r="AL1" s="58">
        <v>38</v>
      </c>
      <c r="AM1" s="38">
        <v>39</v>
      </c>
      <c r="AN1" s="58">
        <v>40</v>
      </c>
      <c r="AO1" s="58">
        <v>41</v>
      </c>
      <c r="AP1" s="58">
        <v>42</v>
      </c>
      <c r="AQ1" s="58">
        <v>43</v>
      </c>
      <c r="AR1" s="58">
        <v>44</v>
      </c>
      <c r="AS1" s="58">
        <v>45</v>
      </c>
      <c r="AT1" s="58">
        <v>46</v>
      </c>
      <c r="AU1" s="58">
        <v>47</v>
      </c>
      <c r="AV1" s="58">
        <v>48</v>
      </c>
      <c r="AW1" s="58">
        <v>49</v>
      </c>
      <c r="AX1" s="58">
        <v>50</v>
      </c>
      <c r="AY1" s="58">
        <v>51</v>
      </c>
      <c r="AZ1" s="58">
        <v>52</v>
      </c>
      <c r="BA1" s="58">
        <v>53</v>
      </c>
      <c r="BB1" s="58">
        <v>54</v>
      </c>
      <c r="BC1" s="58">
        <v>55</v>
      </c>
      <c r="BD1" s="58">
        <v>56</v>
      </c>
    </row>
    <row r="2" spans="1:56" ht="33" customHeight="1">
      <c r="A2" s="71" t="s">
        <v>114</v>
      </c>
      <c r="B2" s="71"/>
      <c r="C2" s="71"/>
      <c r="D2" s="71"/>
      <c r="E2" s="71"/>
      <c r="F2" s="71"/>
      <c r="G2" s="71"/>
      <c r="I2" s="65" t="s">
        <v>121</v>
      </c>
      <c r="J2" s="65" t="s">
        <v>122</v>
      </c>
      <c r="K2" s="65" t="s">
        <v>123</v>
      </c>
      <c r="L2" s="26" t="s">
        <v>124</v>
      </c>
      <c r="O2" s="75" t="s">
        <v>141</v>
      </c>
      <c r="P2" s="75"/>
      <c r="Q2" s="75"/>
      <c r="S2" s="74" t="s">
        <v>142</v>
      </c>
      <c r="T2" s="74"/>
      <c r="U2" s="74"/>
      <c r="V2" s="74"/>
      <c r="W2" s="166"/>
      <c r="X2" s="166"/>
      <c r="AA2" s="75" t="s">
        <v>192</v>
      </c>
      <c r="AB2" s="75"/>
      <c r="AC2" s="41"/>
      <c r="AD2" s="41"/>
      <c r="AF2" s="76" t="s">
        <v>206</v>
      </c>
      <c r="AG2" s="76"/>
      <c r="AJ2" s="73" t="s">
        <v>221</v>
      </c>
      <c r="AK2" s="73"/>
      <c r="AL2" s="73"/>
      <c r="AM2" s="73"/>
    </row>
    <row r="3" spans="1:56" ht="33" customHeight="1">
      <c r="A3" s="25" t="s">
        <v>89</v>
      </c>
      <c r="B3" s="26" t="s">
        <v>90</v>
      </c>
      <c r="C3" s="26" t="s">
        <v>0</v>
      </c>
      <c r="D3" s="26" t="s">
        <v>112</v>
      </c>
      <c r="E3" s="26" t="s">
        <v>115</v>
      </c>
      <c r="F3" s="26" t="s">
        <v>116</v>
      </c>
      <c r="G3" s="26" t="s">
        <v>113</v>
      </c>
      <c r="I3" s="26" t="s">
        <v>117</v>
      </c>
      <c r="J3" s="26" t="s">
        <v>118</v>
      </c>
      <c r="K3" s="26" t="s">
        <v>119</v>
      </c>
      <c r="L3" s="26" t="s">
        <v>125</v>
      </c>
      <c r="M3" s="9" t="s">
        <v>85</v>
      </c>
      <c r="O3" s="9" t="s">
        <v>128</v>
      </c>
      <c r="P3" s="9" t="s">
        <v>131</v>
      </c>
      <c r="Q3" s="9" t="s">
        <v>126</v>
      </c>
      <c r="S3" s="9" t="s">
        <v>143</v>
      </c>
      <c r="T3" s="9" t="s">
        <v>136</v>
      </c>
      <c r="U3" s="9" t="s">
        <v>144</v>
      </c>
      <c r="V3" s="9" t="s">
        <v>154</v>
      </c>
      <c r="W3" s="67" t="s">
        <v>138</v>
      </c>
      <c r="X3" s="27" t="s">
        <v>139</v>
      </c>
      <c r="Y3" s="9" t="s">
        <v>140</v>
      </c>
      <c r="AA3" s="9" t="s">
        <v>127</v>
      </c>
      <c r="AB3" s="9" t="s">
        <v>184</v>
      </c>
      <c r="AC3" s="9" t="s">
        <v>189</v>
      </c>
      <c r="AD3" s="9" t="s">
        <v>191</v>
      </c>
      <c r="AF3" s="54" t="s">
        <v>193</v>
      </c>
      <c r="AG3" s="54" t="s">
        <v>194</v>
      </c>
      <c r="AH3" s="54" t="s">
        <v>189</v>
      </c>
      <c r="AJ3" s="59" t="s">
        <v>207</v>
      </c>
      <c r="AK3" s="59" t="s">
        <v>208</v>
      </c>
      <c r="AL3" s="59" t="s">
        <v>209</v>
      </c>
      <c r="AM3" s="38" t="s">
        <v>217</v>
      </c>
    </row>
    <row r="4" spans="1:56" ht="33" customHeight="1">
      <c r="A4" s="25" t="s">
        <v>92</v>
      </c>
      <c r="B4" s="26" t="s">
        <v>66</v>
      </c>
      <c r="C4" s="26" t="s">
        <v>24</v>
      </c>
      <c r="D4" s="26" t="s">
        <v>55</v>
      </c>
      <c r="E4" s="26" t="s">
        <v>22</v>
      </c>
      <c r="G4" s="25">
        <v>420</v>
      </c>
      <c r="I4" s="28" t="s">
        <v>120</v>
      </c>
      <c r="J4" s="29"/>
      <c r="K4" s="29"/>
      <c r="L4" s="30">
        <v>127</v>
      </c>
      <c r="M4" s="32">
        <v>3.3070866141732282</v>
      </c>
      <c r="O4" s="34" t="s">
        <v>129</v>
      </c>
      <c r="P4" s="34" t="s">
        <v>132</v>
      </c>
      <c r="Q4" s="27">
        <v>2</v>
      </c>
      <c r="S4" s="27" t="s">
        <v>134</v>
      </c>
      <c r="T4" s="27">
        <v>30</v>
      </c>
      <c r="U4" s="27">
        <v>3</v>
      </c>
      <c r="V4" s="68" t="s">
        <v>155</v>
      </c>
      <c r="W4" s="67">
        <v>1</v>
      </c>
      <c r="X4" s="67">
        <v>0.7</v>
      </c>
      <c r="Y4" s="32">
        <v>4.7244094488188981</v>
      </c>
      <c r="AA4" s="68" t="s">
        <v>147</v>
      </c>
      <c r="AB4" s="9"/>
      <c r="AC4" s="9">
        <v>0.5</v>
      </c>
      <c r="AD4" s="9">
        <v>1.5</v>
      </c>
      <c r="AF4" s="48">
        <v>10</v>
      </c>
      <c r="AG4" s="57">
        <v>0.02</v>
      </c>
      <c r="AH4" s="48">
        <v>1.5</v>
      </c>
      <c r="AJ4" s="58">
        <v>1.5</v>
      </c>
      <c r="AK4" s="64">
        <v>1.5</v>
      </c>
      <c r="AL4" s="58">
        <v>1.5</v>
      </c>
      <c r="AM4" s="38" t="s">
        <v>218</v>
      </c>
    </row>
    <row r="5" spans="1:56" ht="33" customHeight="1">
      <c r="A5" s="25" t="s">
        <v>93</v>
      </c>
      <c r="B5" s="26" t="s">
        <v>66</v>
      </c>
      <c r="C5" s="26" t="s">
        <v>20</v>
      </c>
      <c r="D5" s="26" t="s">
        <v>23</v>
      </c>
      <c r="G5" s="25">
        <v>200</v>
      </c>
      <c r="I5" s="28" t="s">
        <v>120</v>
      </c>
      <c r="J5" s="29"/>
      <c r="K5" s="29"/>
      <c r="L5" s="30">
        <v>127</v>
      </c>
      <c r="M5" s="32">
        <v>1.5748031496062993</v>
      </c>
      <c r="O5" s="34" t="s">
        <v>129</v>
      </c>
      <c r="P5" s="34" t="s">
        <v>132</v>
      </c>
      <c r="Q5" s="27">
        <v>2</v>
      </c>
      <c r="S5" s="67" t="s">
        <v>134</v>
      </c>
      <c r="T5" s="27">
        <v>30</v>
      </c>
      <c r="U5" s="27">
        <v>3</v>
      </c>
      <c r="V5" s="68" t="s">
        <v>155</v>
      </c>
      <c r="W5" s="67">
        <v>1</v>
      </c>
      <c r="X5" s="27">
        <v>0.7</v>
      </c>
      <c r="Y5" s="32">
        <v>2.2497187851518561</v>
      </c>
      <c r="AA5" s="68" t="s">
        <v>147</v>
      </c>
      <c r="AB5" s="9"/>
      <c r="AC5" s="9">
        <v>0.5</v>
      </c>
      <c r="AD5" s="9">
        <v>1.5</v>
      </c>
      <c r="AF5" s="48">
        <v>10</v>
      </c>
      <c r="AG5" s="57">
        <v>0.02</v>
      </c>
      <c r="AH5" s="48">
        <v>1.5</v>
      </c>
      <c r="AJ5" s="58">
        <v>1.5</v>
      </c>
      <c r="AK5" s="64">
        <v>1.5</v>
      </c>
      <c r="AL5" s="58">
        <v>1.5</v>
      </c>
      <c r="AM5" s="38" t="s">
        <v>218</v>
      </c>
    </row>
    <row r="6" spans="1:56" ht="33" customHeight="1">
      <c r="A6" s="25" t="s">
        <v>94</v>
      </c>
      <c r="B6" s="26" t="s">
        <v>67</v>
      </c>
      <c r="C6" s="26" t="s">
        <v>24</v>
      </c>
      <c r="D6" s="26" t="s">
        <v>55</v>
      </c>
      <c r="E6" s="26" t="s">
        <v>22</v>
      </c>
      <c r="G6" s="25">
        <v>1200</v>
      </c>
      <c r="I6" s="28"/>
      <c r="J6" s="29" t="s">
        <v>120</v>
      </c>
      <c r="K6" s="29"/>
      <c r="L6" s="30">
        <v>127</v>
      </c>
      <c r="M6" s="32">
        <v>9.4488188976377945</v>
      </c>
      <c r="O6" s="34" t="s">
        <v>129</v>
      </c>
      <c r="P6" s="34" t="s">
        <v>132</v>
      </c>
      <c r="Q6" s="27">
        <v>2</v>
      </c>
      <c r="S6" s="67" t="s">
        <v>134</v>
      </c>
      <c r="T6" s="27">
        <v>30</v>
      </c>
      <c r="U6" s="27">
        <v>3</v>
      </c>
      <c r="V6" s="68" t="s">
        <v>155</v>
      </c>
      <c r="W6" s="67">
        <v>1</v>
      </c>
      <c r="X6" s="27">
        <v>0.7</v>
      </c>
      <c r="Y6" s="32">
        <v>13.498312710911136</v>
      </c>
      <c r="AA6" s="68" t="s">
        <v>147</v>
      </c>
      <c r="AB6" s="9"/>
      <c r="AC6" s="9">
        <v>1</v>
      </c>
      <c r="AD6" s="9">
        <v>2.5</v>
      </c>
      <c r="AF6" s="48">
        <v>10</v>
      </c>
      <c r="AG6" s="57">
        <v>0.02</v>
      </c>
      <c r="AH6" s="48">
        <v>1.5</v>
      </c>
      <c r="AJ6" s="58">
        <v>2.5</v>
      </c>
      <c r="AK6" s="64">
        <v>2.5</v>
      </c>
      <c r="AL6" s="58">
        <v>2.5</v>
      </c>
      <c r="AM6" s="38" t="s">
        <v>219</v>
      </c>
    </row>
    <row r="7" spans="1:56" ht="33" customHeight="1">
      <c r="A7" s="25" t="s">
        <v>95</v>
      </c>
      <c r="B7" s="26" t="s">
        <v>67</v>
      </c>
      <c r="C7" s="26" t="s">
        <v>20</v>
      </c>
      <c r="G7" s="25">
        <v>1900</v>
      </c>
      <c r="I7" s="28" t="s">
        <v>120</v>
      </c>
      <c r="J7" s="29"/>
      <c r="K7" s="29"/>
      <c r="L7" s="30">
        <v>127</v>
      </c>
      <c r="M7" s="32">
        <v>14.960629921259843</v>
      </c>
      <c r="O7" s="34" t="s">
        <v>129</v>
      </c>
      <c r="P7" s="34" t="s">
        <v>132</v>
      </c>
      <c r="Q7" s="27">
        <v>2</v>
      </c>
      <c r="S7" s="67" t="s">
        <v>134</v>
      </c>
      <c r="T7" s="27">
        <v>30</v>
      </c>
      <c r="U7" s="27">
        <v>3</v>
      </c>
      <c r="V7" s="68" t="s">
        <v>155</v>
      </c>
      <c r="W7" s="67">
        <v>1</v>
      </c>
      <c r="X7" s="27">
        <v>0.7</v>
      </c>
      <c r="Y7" s="32">
        <v>21.372328458942633</v>
      </c>
      <c r="AA7" s="68" t="s">
        <v>147</v>
      </c>
      <c r="AB7" s="9"/>
      <c r="AC7" s="9">
        <v>2.5</v>
      </c>
      <c r="AD7" s="9">
        <v>2.5</v>
      </c>
      <c r="AF7" s="48">
        <v>10</v>
      </c>
      <c r="AG7" s="57">
        <v>0.02</v>
      </c>
      <c r="AH7" s="48">
        <v>2.5</v>
      </c>
      <c r="AJ7" s="58">
        <v>2.5</v>
      </c>
      <c r="AK7" s="64">
        <v>2.5</v>
      </c>
      <c r="AL7" s="58">
        <v>2.5</v>
      </c>
      <c r="AM7" s="38" t="s">
        <v>220</v>
      </c>
    </row>
    <row r="8" spans="1:56" ht="33" customHeight="1">
      <c r="A8" s="25" t="s">
        <v>96</v>
      </c>
      <c r="B8" s="26" t="s">
        <v>67</v>
      </c>
      <c r="C8" s="26" t="s">
        <v>23</v>
      </c>
      <c r="G8" s="25">
        <v>1800</v>
      </c>
      <c r="I8" s="28"/>
      <c r="J8" s="29" t="s">
        <v>120</v>
      </c>
      <c r="K8" s="29"/>
      <c r="L8" s="30">
        <v>127</v>
      </c>
      <c r="M8" s="32">
        <v>14.173228346456693</v>
      </c>
      <c r="O8" s="34" t="s">
        <v>129</v>
      </c>
      <c r="P8" s="34" t="s">
        <v>132</v>
      </c>
      <c r="Q8" s="27">
        <v>2</v>
      </c>
      <c r="S8" s="67" t="s">
        <v>134</v>
      </c>
      <c r="T8" s="27">
        <v>30</v>
      </c>
      <c r="U8" s="27">
        <v>3</v>
      </c>
      <c r="V8" s="68" t="s">
        <v>155</v>
      </c>
      <c r="W8" s="67">
        <v>1</v>
      </c>
      <c r="X8" s="27">
        <v>0.7</v>
      </c>
      <c r="Y8" s="32">
        <v>20.247469066366705</v>
      </c>
      <c r="AA8" s="68" t="s">
        <v>147</v>
      </c>
      <c r="AB8" s="9"/>
      <c r="AC8" s="9">
        <v>2.5</v>
      </c>
      <c r="AD8" s="9">
        <v>2.5</v>
      </c>
      <c r="AF8" s="48">
        <v>10</v>
      </c>
      <c r="AG8" s="57">
        <v>0.02</v>
      </c>
      <c r="AH8" s="48">
        <v>2.5</v>
      </c>
      <c r="AJ8" s="58">
        <v>2.5</v>
      </c>
      <c r="AK8" s="64">
        <v>2.5</v>
      </c>
      <c r="AL8" s="58">
        <v>2.5</v>
      </c>
      <c r="AM8" s="38" t="s">
        <v>220</v>
      </c>
    </row>
    <row r="9" spans="1:56" ht="33" customHeight="1">
      <c r="A9" s="25" t="s">
        <v>97</v>
      </c>
      <c r="B9" s="26" t="s">
        <v>72</v>
      </c>
      <c r="C9" s="26" t="s">
        <v>55</v>
      </c>
      <c r="G9" s="25">
        <v>6400</v>
      </c>
      <c r="I9" s="28" t="s">
        <v>120</v>
      </c>
      <c r="J9" s="29" t="s">
        <v>120</v>
      </c>
      <c r="K9" s="29"/>
      <c r="L9" s="30">
        <v>220</v>
      </c>
      <c r="M9" s="32">
        <v>29.09090909090909</v>
      </c>
      <c r="O9" s="34" t="s">
        <v>129</v>
      </c>
      <c r="P9" s="34" t="s">
        <v>132</v>
      </c>
      <c r="Q9" s="27">
        <v>2</v>
      </c>
      <c r="S9" s="67" t="s">
        <v>135</v>
      </c>
      <c r="T9" s="27">
        <v>25</v>
      </c>
      <c r="U9" s="27">
        <v>1</v>
      </c>
      <c r="V9" s="68" t="s">
        <v>155</v>
      </c>
      <c r="W9" s="67">
        <v>0.95</v>
      </c>
      <c r="X9" s="27">
        <v>1</v>
      </c>
      <c r="Y9" s="32">
        <v>30.62200956937799</v>
      </c>
      <c r="AA9" s="68" t="s">
        <v>147</v>
      </c>
      <c r="AB9" s="9"/>
      <c r="AC9" s="9">
        <v>4</v>
      </c>
      <c r="AD9" s="68" t="s">
        <v>190</v>
      </c>
      <c r="AF9" s="48">
        <v>10</v>
      </c>
      <c r="AG9" s="57">
        <v>0.02</v>
      </c>
      <c r="AH9" s="48">
        <v>2.5</v>
      </c>
      <c r="AJ9" s="67" t="s">
        <v>190</v>
      </c>
      <c r="AK9" s="67" t="s">
        <v>190</v>
      </c>
      <c r="AL9" s="67" t="s">
        <v>190</v>
      </c>
      <c r="AM9" s="38" t="s">
        <v>190</v>
      </c>
    </row>
    <row r="10" spans="1:56" ht="33" customHeight="1">
      <c r="A10" s="25" t="s">
        <v>98</v>
      </c>
      <c r="B10" s="26" t="s">
        <v>72</v>
      </c>
      <c r="C10" s="26" t="s">
        <v>20</v>
      </c>
      <c r="G10" s="25">
        <v>4400</v>
      </c>
      <c r="I10" s="28" t="s">
        <v>120</v>
      </c>
      <c r="J10" s="29" t="s">
        <v>120</v>
      </c>
      <c r="K10" s="29"/>
      <c r="L10" s="30">
        <v>220</v>
      </c>
      <c r="M10" s="32">
        <v>20</v>
      </c>
      <c r="O10" s="34" t="s">
        <v>129</v>
      </c>
      <c r="P10" s="34" t="s">
        <v>132</v>
      </c>
      <c r="Q10" s="27">
        <v>2</v>
      </c>
      <c r="S10" s="67" t="s">
        <v>135</v>
      </c>
      <c r="T10" s="27">
        <v>25</v>
      </c>
      <c r="U10" s="27">
        <v>1</v>
      </c>
      <c r="V10" s="68" t="s">
        <v>155</v>
      </c>
      <c r="W10" s="67">
        <v>0.95</v>
      </c>
      <c r="X10" s="27">
        <v>1</v>
      </c>
      <c r="Y10" s="32">
        <v>21.05263157894737</v>
      </c>
      <c r="AA10" s="68" t="s">
        <v>147</v>
      </c>
      <c r="AB10" s="9"/>
      <c r="AC10" s="9">
        <v>2.5</v>
      </c>
      <c r="AD10" s="68" t="s">
        <v>190</v>
      </c>
      <c r="AF10" s="48">
        <v>10</v>
      </c>
      <c r="AG10" s="57">
        <v>0.02</v>
      </c>
      <c r="AH10" s="48">
        <v>2.5</v>
      </c>
      <c r="AJ10" s="67" t="s">
        <v>190</v>
      </c>
      <c r="AK10" s="67" t="s">
        <v>190</v>
      </c>
      <c r="AL10" s="67" t="s">
        <v>190</v>
      </c>
      <c r="AM10" s="38" t="s">
        <v>190</v>
      </c>
    </row>
    <row r="11" spans="1:56" ht="33" customHeight="1">
      <c r="A11" s="25" t="s">
        <v>91</v>
      </c>
      <c r="B11" s="26" t="s">
        <v>88</v>
      </c>
      <c r="G11" s="24">
        <v>13853.473684210527</v>
      </c>
      <c r="I11" s="28" t="s">
        <v>120</v>
      </c>
      <c r="J11" s="29" t="s">
        <v>120</v>
      </c>
      <c r="K11" s="29"/>
      <c r="L11" s="30">
        <v>220</v>
      </c>
      <c r="M11" s="32">
        <v>62.970334928229668</v>
      </c>
      <c r="O11" s="34" t="s">
        <v>129</v>
      </c>
      <c r="P11" s="34" t="s">
        <v>132</v>
      </c>
      <c r="Q11" s="27">
        <v>3</v>
      </c>
      <c r="S11" s="67" t="s">
        <v>135</v>
      </c>
      <c r="T11" s="27">
        <v>25</v>
      </c>
      <c r="U11" s="27">
        <v>1</v>
      </c>
      <c r="V11" s="68" t="s">
        <v>155</v>
      </c>
      <c r="W11" s="67">
        <v>0.95</v>
      </c>
      <c r="X11" s="27">
        <v>1</v>
      </c>
      <c r="Y11" s="32">
        <v>66.28456308234702</v>
      </c>
      <c r="AA11" s="68" t="s">
        <v>147</v>
      </c>
      <c r="AB11" s="9"/>
      <c r="AC11" s="9">
        <v>16</v>
      </c>
      <c r="AD11" s="9"/>
      <c r="AF11" s="48">
        <v>50</v>
      </c>
      <c r="AG11" s="57">
        <v>0.02</v>
      </c>
      <c r="AH11" s="48">
        <v>25</v>
      </c>
      <c r="AJ11" s="58">
        <v>25</v>
      </c>
      <c r="AK11" s="64">
        <v>25</v>
      </c>
      <c r="AL11" s="58">
        <v>16</v>
      </c>
      <c r="AM11" s="38" t="s">
        <v>252</v>
      </c>
    </row>
    <row r="12" spans="1:56" ht="33" customHeight="1">
      <c r="I12" s="28"/>
      <c r="J12" s="29"/>
      <c r="K12" s="29"/>
      <c r="L12" s="30"/>
      <c r="M12" s="32"/>
      <c r="O12" s="34"/>
      <c r="P12" s="34"/>
      <c r="W12" s="67"/>
      <c r="X12" s="27"/>
      <c r="Y12" s="31"/>
      <c r="AB12" s="9"/>
      <c r="AC12" s="9"/>
      <c r="AD12" s="9"/>
      <c r="AF12" s="48"/>
      <c r="AG12" s="57"/>
      <c r="AH12" s="48"/>
      <c r="AM12" s="38"/>
    </row>
    <row r="13" spans="1:56" ht="33" customHeight="1">
      <c r="I13" s="28"/>
      <c r="J13" s="29"/>
      <c r="K13" s="29"/>
      <c r="L13" s="30"/>
      <c r="M13" s="32"/>
      <c r="O13" s="34"/>
      <c r="P13" s="34"/>
      <c r="W13" s="67"/>
      <c r="X13" s="27"/>
      <c r="Y13" s="31"/>
      <c r="AB13" s="9"/>
      <c r="AC13" s="9"/>
      <c r="AD13" s="9"/>
      <c r="AF13" s="48"/>
      <c r="AG13" s="57"/>
      <c r="AH13" s="48"/>
      <c r="AM13" s="38"/>
    </row>
    <row r="14" spans="1:56" ht="33" customHeight="1">
      <c r="I14" s="28"/>
      <c r="J14" s="29"/>
      <c r="K14" s="29"/>
      <c r="L14" s="30"/>
      <c r="M14" s="32"/>
      <c r="O14" s="34"/>
      <c r="P14" s="34"/>
      <c r="W14" s="67"/>
      <c r="X14" s="27"/>
      <c r="Y14" s="31"/>
      <c r="AB14" s="9"/>
      <c r="AC14" s="9"/>
      <c r="AD14" s="9"/>
      <c r="AF14" s="48"/>
      <c r="AG14" s="57"/>
      <c r="AH14" s="48"/>
      <c r="AM14" s="38"/>
    </row>
    <row r="15" spans="1:56" ht="33" customHeight="1">
      <c r="I15" s="28"/>
      <c r="J15" s="29"/>
      <c r="K15" s="29"/>
      <c r="L15" s="30"/>
      <c r="M15" s="32"/>
      <c r="O15" s="34"/>
      <c r="P15" s="34"/>
      <c r="W15" s="67"/>
      <c r="X15" s="27"/>
      <c r="Y15" s="31"/>
      <c r="AB15" s="9"/>
      <c r="AC15" s="9"/>
      <c r="AD15" s="9"/>
      <c r="AF15" s="48"/>
      <c r="AG15" s="57"/>
      <c r="AH15" s="48"/>
      <c r="AM15" s="38"/>
    </row>
    <row r="16" spans="1:56" ht="33" customHeight="1">
      <c r="I16" s="28"/>
      <c r="J16" s="29"/>
      <c r="K16" s="29"/>
      <c r="L16" s="30"/>
      <c r="M16" s="32"/>
      <c r="O16" s="34"/>
      <c r="P16" s="34"/>
      <c r="W16" s="67"/>
      <c r="X16" s="27"/>
      <c r="Y16" s="31"/>
      <c r="AB16" s="9"/>
      <c r="AC16" s="9"/>
      <c r="AD16" s="9"/>
      <c r="AF16" s="48"/>
      <c r="AG16" s="57"/>
      <c r="AH16" s="48"/>
      <c r="AM16" s="38"/>
    </row>
    <row r="17" spans="3:39" ht="33" customHeight="1">
      <c r="I17" s="28"/>
      <c r="J17" s="29"/>
      <c r="K17" s="29"/>
      <c r="L17" s="30"/>
      <c r="M17" s="32"/>
      <c r="O17" s="34"/>
      <c r="P17" s="34"/>
      <c r="W17" s="67"/>
      <c r="X17" s="27"/>
      <c r="Y17" s="31"/>
      <c r="AB17" s="9"/>
      <c r="AC17" s="9"/>
      <c r="AD17" s="9"/>
      <c r="AF17" s="48"/>
      <c r="AG17" s="57"/>
      <c r="AH17" s="48"/>
      <c r="AM17" s="38"/>
    </row>
    <row r="18" spans="3:39" ht="33" customHeight="1">
      <c r="I18" s="28"/>
      <c r="J18" s="29"/>
      <c r="K18" s="29"/>
      <c r="L18" s="30"/>
      <c r="M18" s="32"/>
      <c r="O18" s="34"/>
      <c r="P18" s="34"/>
      <c r="W18" s="67"/>
      <c r="X18" s="27"/>
      <c r="Y18" s="31"/>
      <c r="AB18" s="9"/>
      <c r="AC18" s="9"/>
      <c r="AD18" s="9"/>
      <c r="AF18" s="48"/>
      <c r="AG18" s="57"/>
      <c r="AH18" s="48"/>
      <c r="AM18" s="38"/>
    </row>
    <row r="19" spans="3:39" ht="33" customHeight="1">
      <c r="I19" s="28"/>
      <c r="J19" s="29"/>
      <c r="K19" s="29"/>
      <c r="L19" s="30"/>
      <c r="M19" s="32"/>
      <c r="O19" s="34"/>
      <c r="P19" s="34"/>
      <c r="W19" s="67"/>
      <c r="X19" s="27"/>
      <c r="Y19" s="31"/>
      <c r="AB19" s="9"/>
      <c r="AC19" s="9"/>
      <c r="AD19" s="9"/>
      <c r="AF19" s="48"/>
      <c r="AG19" s="57"/>
      <c r="AH19" s="48"/>
      <c r="AM19" s="38"/>
    </row>
    <row r="20" spans="3:39" ht="33" customHeight="1">
      <c r="I20" s="28"/>
      <c r="J20" s="29"/>
      <c r="K20" s="29"/>
      <c r="L20" s="30"/>
      <c r="M20" s="32"/>
      <c r="O20" s="34"/>
      <c r="P20" s="34"/>
      <c r="W20" s="67"/>
      <c r="X20" s="27"/>
      <c r="Y20" s="31"/>
      <c r="AB20" s="9"/>
      <c r="AC20" s="9"/>
      <c r="AD20" s="9"/>
      <c r="AF20" s="48"/>
      <c r="AG20" s="57"/>
      <c r="AH20" s="48"/>
      <c r="AM20" s="38"/>
    </row>
    <row r="21" spans="3:39" ht="33" customHeight="1">
      <c r="I21" s="28"/>
      <c r="J21" s="29"/>
      <c r="K21" s="29"/>
      <c r="L21" s="30"/>
      <c r="M21" s="32"/>
      <c r="O21" s="34"/>
      <c r="P21" s="34"/>
      <c r="W21" s="67"/>
      <c r="X21" s="27"/>
      <c r="Y21" s="31"/>
      <c r="AB21" s="9"/>
      <c r="AC21" s="9"/>
      <c r="AD21" s="9"/>
      <c r="AF21" s="48"/>
      <c r="AG21" s="57"/>
      <c r="AH21" s="48"/>
      <c r="AM21" s="38"/>
    </row>
    <row r="22" spans="3:39" ht="33" customHeight="1">
      <c r="I22" s="29"/>
      <c r="J22" s="29"/>
      <c r="K22" s="29"/>
    </row>
    <row r="23" spans="3:39" ht="33" customHeight="1">
      <c r="I23" s="29" t="s">
        <v>120</v>
      </c>
      <c r="J23" s="29"/>
      <c r="K23" s="29"/>
      <c r="O23" s="9" t="s">
        <v>129</v>
      </c>
      <c r="P23" s="9" t="s">
        <v>132</v>
      </c>
      <c r="Q23" s="27">
        <v>2</v>
      </c>
      <c r="S23" s="27" t="s">
        <v>134</v>
      </c>
      <c r="T23" s="27">
        <v>10</v>
      </c>
      <c r="V23" s="9" t="s">
        <v>155</v>
      </c>
      <c r="AA23" s="9" t="s">
        <v>145</v>
      </c>
      <c r="AB23" s="9" t="s">
        <v>185</v>
      </c>
      <c r="AG23" s="48" t="s">
        <v>205</v>
      </c>
    </row>
    <row r="24" spans="3:39" ht="33" customHeight="1">
      <c r="C24" s="26" t="str">
        <f>'Parte 1'!A4</f>
        <v>Cozinha</v>
      </c>
      <c r="D24" s="26" t="str">
        <f>C24</f>
        <v>Cozinha</v>
      </c>
      <c r="E24" s="26" t="str">
        <f>D24</f>
        <v>Cozinha</v>
      </c>
      <c r="F24" s="26" t="str">
        <f>E24</f>
        <v>Cozinha</v>
      </c>
      <c r="I24" s="29"/>
      <c r="J24" s="29"/>
      <c r="K24" s="29"/>
      <c r="O24" s="9" t="s">
        <v>130</v>
      </c>
      <c r="P24" s="9" t="s">
        <v>133</v>
      </c>
      <c r="Q24" s="27">
        <v>3</v>
      </c>
      <c r="S24" s="27" t="s">
        <v>135</v>
      </c>
      <c r="T24" s="27">
        <v>15</v>
      </c>
      <c r="V24" s="9" t="s">
        <v>156</v>
      </c>
      <c r="AA24" s="9" t="s">
        <v>146</v>
      </c>
      <c r="AB24" s="9" t="s">
        <v>186</v>
      </c>
      <c r="AG24" s="56">
        <v>0.01</v>
      </c>
    </row>
    <row r="25" spans="3:39" ht="33" customHeight="1">
      <c r="C25" s="66" t="str">
        <f>'Parte 1'!A5</f>
        <v>Área de Serviço</v>
      </c>
      <c r="D25" s="66" t="str">
        <f t="shared" ref="D25:F25" si="0">C25</f>
        <v>Área de Serviço</v>
      </c>
      <c r="E25" s="66" t="str">
        <f t="shared" si="0"/>
        <v>Área de Serviço</v>
      </c>
      <c r="F25" s="66" t="str">
        <f t="shared" si="0"/>
        <v>Área de Serviço</v>
      </c>
      <c r="I25" s="29"/>
      <c r="J25" s="29"/>
      <c r="K25" s="29"/>
      <c r="Q25" s="27">
        <v>4</v>
      </c>
      <c r="T25" s="27">
        <v>20</v>
      </c>
      <c r="V25" s="9" t="s">
        <v>157</v>
      </c>
      <c r="AA25" s="9" t="s">
        <v>147</v>
      </c>
      <c r="AB25" s="9" t="s">
        <v>187</v>
      </c>
      <c r="AG25" s="56">
        <v>0.02</v>
      </c>
    </row>
    <row r="26" spans="3:39" ht="33" customHeight="1">
      <c r="C26" s="66" t="str">
        <f>'Parte 1'!A6</f>
        <v>Banheiro</v>
      </c>
      <c r="D26" s="66" t="str">
        <f t="shared" ref="D26:F26" si="1">C26</f>
        <v>Banheiro</v>
      </c>
      <c r="E26" s="66" t="str">
        <f t="shared" si="1"/>
        <v>Banheiro</v>
      </c>
      <c r="F26" s="66" t="str">
        <f t="shared" si="1"/>
        <v>Banheiro</v>
      </c>
      <c r="I26" s="29"/>
      <c r="J26" s="29"/>
      <c r="K26" s="29"/>
      <c r="T26" s="27">
        <v>25</v>
      </c>
      <c r="V26" s="9" t="s">
        <v>158</v>
      </c>
      <c r="AA26" s="9" t="s">
        <v>148</v>
      </c>
      <c r="AB26" s="9" t="s">
        <v>188</v>
      </c>
      <c r="AG26" s="56">
        <v>0.03</v>
      </c>
    </row>
    <row r="27" spans="3:39" ht="33" customHeight="1">
      <c r="C27" s="66" t="str">
        <f>'Parte 1'!A7</f>
        <v>Sala</v>
      </c>
      <c r="D27" s="66" t="str">
        <f t="shared" ref="D27:F27" si="2">C27</f>
        <v>Sala</v>
      </c>
      <c r="E27" s="66" t="str">
        <f t="shared" si="2"/>
        <v>Sala</v>
      </c>
      <c r="F27" s="66" t="str">
        <f t="shared" si="2"/>
        <v>Sala</v>
      </c>
      <c r="T27" s="27">
        <v>30</v>
      </c>
      <c r="V27" s="9" t="s">
        <v>159</v>
      </c>
      <c r="AA27" s="9" t="s">
        <v>149</v>
      </c>
      <c r="AG27" s="56">
        <v>0.04</v>
      </c>
    </row>
    <row r="28" spans="3:39" ht="33" customHeight="1">
      <c r="C28" s="66" t="str">
        <f>'Parte 1'!A8</f>
        <v>Dormitório 1</v>
      </c>
      <c r="D28" s="66" t="str">
        <f t="shared" ref="D28:F28" si="3">C28</f>
        <v>Dormitório 1</v>
      </c>
      <c r="E28" s="66" t="str">
        <f t="shared" si="3"/>
        <v>Dormitório 1</v>
      </c>
      <c r="F28" s="66" t="str">
        <f t="shared" si="3"/>
        <v>Dormitório 1</v>
      </c>
      <c r="T28" s="27">
        <v>35</v>
      </c>
      <c r="AA28" s="9" t="s">
        <v>150</v>
      </c>
      <c r="AG28" s="56">
        <v>0.05</v>
      </c>
    </row>
    <row r="29" spans="3:39" ht="33" customHeight="1">
      <c r="C29" s="66">
        <f>'Parte 1'!A9</f>
        <v>0</v>
      </c>
      <c r="D29" s="66">
        <f t="shared" ref="D29:F29" si="4">C29</f>
        <v>0</v>
      </c>
      <c r="E29" s="66">
        <f t="shared" si="4"/>
        <v>0</v>
      </c>
      <c r="F29" s="66">
        <f t="shared" si="4"/>
        <v>0</v>
      </c>
      <c r="T29" s="27">
        <v>40</v>
      </c>
      <c r="AA29" s="9" t="s">
        <v>151</v>
      </c>
    </row>
    <row r="30" spans="3:39" ht="33" customHeight="1">
      <c r="C30" s="66">
        <f>'Parte 1'!A10</f>
        <v>0</v>
      </c>
      <c r="D30" s="66">
        <f t="shared" ref="D30:F30" si="5">C30</f>
        <v>0</v>
      </c>
      <c r="E30" s="66">
        <f t="shared" si="5"/>
        <v>0</v>
      </c>
      <c r="F30" s="66">
        <f t="shared" si="5"/>
        <v>0</v>
      </c>
      <c r="T30" s="27">
        <v>45</v>
      </c>
      <c r="AA30" s="9" t="s">
        <v>152</v>
      </c>
    </row>
    <row r="31" spans="3:39" ht="33" customHeight="1">
      <c r="C31" s="66">
        <f>'Parte 1'!A11</f>
        <v>0</v>
      </c>
      <c r="D31" s="66">
        <f t="shared" ref="D31:F31" si="6">C31</f>
        <v>0</v>
      </c>
      <c r="E31" s="66">
        <f t="shared" si="6"/>
        <v>0</v>
      </c>
      <c r="F31" s="66">
        <f t="shared" si="6"/>
        <v>0</v>
      </c>
      <c r="T31" s="27">
        <v>50</v>
      </c>
      <c r="AA31" s="9" t="s">
        <v>153</v>
      </c>
    </row>
    <row r="32" spans="3:39" ht="33" customHeight="1">
      <c r="C32" s="66">
        <f>'Parte 1'!A12</f>
        <v>0</v>
      </c>
      <c r="D32" s="66">
        <f t="shared" ref="D32:F32" si="7">C32</f>
        <v>0</v>
      </c>
      <c r="E32" s="66">
        <f t="shared" si="7"/>
        <v>0</v>
      </c>
      <c r="F32" s="66">
        <f t="shared" si="7"/>
        <v>0</v>
      </c>
      <c r="T32" s="27">
        <v>55</v>
      </c>
    </row>
    <row r="33" spans="3:20" ht="33" customHeight="1">
      <c r="C33" s="66">
        <f>'Parte 1'!A13</f>
        <v>0</v>
      </c>
      <c r="D33" s="66">
        <f t="shared" ref="D33:F33" si="8">C33</f>
        <v>0</v>
      </c>
      <c r="E33" s="66">
        <f t="shared" si="8"/>
        <v>0</v>
      </c>
      <c r="F33" s="66">
        <f t="shared" si="8"/>
        <v>0</v>
      </c>
      <c r="T33" s="27">
        <v>60</v>
      </c>
    </row>
    <row r="34" spans="3:20" ht="33" customHeight="1">
      <c r="C34" s="66">
        <f>'Parte 1'!A14</f>
        <v>0</v>
      </c>
      <c r="D34" s="66">
        <f t="shared" ref="D34:F34" si="9">C34</f>
        <v>0</v>
      </c>
      <c r="E34" s="66">
        <f t="shared" si="9"/>
        <v>0</v>
      </c>
      <c r="F34" s="66">
        <f t="shared" si="9"/>
        <v>0</v>
      </c>
      <c r="T34" s="27">
        <v>65</v>
      </c>
    </row>
    <row r="35" spans="3:20" ht="33" customHeight="1">
      <c r="C35" s="66">
        <f>'Parte 1'!A15</f>
        <v>0</v>
      </c>
      <c r="D35" s="66">
        <f t="shared" ref="D35:F35" si="10">C35</f>
        <v>0</v>
      </c>
      <c r="E35" s="66">
        <f t="shared" si="10"/>
        <v>0</v>
      </c>
      <c r="F35" s="66">
        <f t="shared" si="10"/>
        <v>0</v>
      </c>
      <c r="T35" s="27">
        <v>70</v>
      </c>
    </row>
    <row r="36" spans="3:20" ht="33" customHeight="1">
      <c r="C36" s="66">
        <f>'Parte 1'!A16</f>
        <v>0</v>
      </c>
      <c r="D36" s="66">
        <f t="shared" ref="D36:F36" si="11">C36</f>
        <v>0</v>
      </c>
      <c r="E36" s="66">
        <f t="shared" si="11"/>
        <v>0</v>
      </c>
      <c r="F36" s="66">
        <f t="shared" si="11"/>
        <v>0</v>
      </c>
      <c r="T36" s="27">
        <v>75</v>
      </c>
    </row>
    <row r="37" spans="3:20" ht="33" customHeight="1">
      <c r="C37" s="66">
        <f>'Parte 1'!A17</f>
        <v>0</v>
      </c>
      <c r="D37" s="66">
        <f t="shared" ref="D37:F37" si="12">C37</f>
        <v>0</v>
      </c>
      <c r="E37" s="66">
        <f t="shared" si="12"/>
        <v>0</v>
      </c>
      <c r="F37" s="66">
        <f t="shared" si="12"/>
        <v>0</v>
      </c>
      <c r="T37" s="27">
        <v>80</v>
      </c>
    </row>
    <row r="38" spans="3:20" ht="33" customHeight="1">
      <c r="C38" s="66">
        <f>'Parte 1'!A18</f>
        <v>0</v>
      </c>
      <c r="D38" s="66">
        <f t="shared" ref="D38:F38" si="13">C38</f>
        <v>0</v>
      </c>
      <c r="E38" s="66">
        <f t="shared" si="13"/>
        <v>0</v>
      </c>
      <c r="F38" s="66">
        <f t="shared" si="13"/>
        <v>0</v>
      </c>
    </row>
    <row r="39" spans="3:20" ht="33" customHeight="1">
      <c r="C39" s="66">
        <f>'Parte 1'!A19</f>
        <v>0</v>
      </c>
      <c r="D39" s="66">
        <f t="shared" ref="D39:F39" si="14">C39</f>
        <v>0</v>
      </c>
      <c r="E39" s="66">
        <f t="shared" si="14"/>
        <v>0</v>
      </c>
      <c r="F39" s="66">
        <f t="shared" si="14"/>
        <v>0</v>
      </c>
    </row>
    <row r="40" spans="3:20" ht="33" customHeight="1">
      <c r="C40" s="66">
        <f>'Parte 1'!A20</f>
        <v>0</v>
      </c>
      <c r="D40" s="66">
        <f t="shared" ref="D40:F40" si="15">C40</f>
        <v>0</v>
      </c>
      <c r="E40" s="66">
        <f t="shared" si="15"/>
        <v>0</v>
      </c>
      <c r="F40" s="66">
        <f t="shared" si="15"/>
        <v>0</v>
      </c>
    </row>
    <row r="41" spans="3:20" ht="33" customHeight="1">
      <c r="C41" s="66">
        <f>'Parte 1'!A21</f>
        <v>0</v>
      </c>
      <c r="D41" s="66">
        <f t="shared" ref="D41:F41" si="16">C41</f>
        <v>0</v>
      </c>
      <c r="E41" s="66">
        <f t="shared" si="16"/>
        <v>0</v>
      </c>
      <c r="F41" s="66">
        <f t="shared" si="16"/>
        <v>0</v>
      </c>
    </row>
    <row r="42" spans="3:20" ht="33" customHeight="1">
      <c r="C42" s="66"/>
    </row>
  </sheetData>
  <mergeCells count="6">
    <mergeCell ref="AJ2:AM2"/>
    <mergeCell ref="A2:G2"/>
    <mergeCell ref="O2:Q2"/>
    <mergeCell ref="AA2:AB2"/>
    <mergeCell ref="AF2:AG2"/>
    <mergeCell ref="S2:V2"/>
  </mergeCells>
  <dataValidations count="17">
    <dataValidation type="list" allowBlank="1" showInputMessage="1" showErrorMessage="1" sqref="AA4:AA21">
      <formula1>$AA$23:$AA$31</formula1>
    </dataValidation>
    <dataValidation type="whole" allowBlank="1" showInputMessage="1" showErrorMessage="1" error="Inserir Valores entre 1 e 30" sqref="U4:U21">
      <formula1>1</formula1>
      <formula2>30</formula2>
    </dataValidation>
    <dataValidation type="list" allowBlank="1" showInputMessage="1" showErrorMessage="1" sqref="V4:V21">
      <formula1>$V$23:$V$27</formula1>
    </dataValidation>
    <dataValidation type="list" allowBlank="1" showInputMessage="1" showErrorMessage="1" sqref="AB4:AB21">
      <formula1>$AB$23:$AB$26</formula1>
    </dataValidation>
    <dataValidation type="list" allowBlank="1" showInputMessage="1" showErrorMessage="1" sqref="AG4:AG21">
      <formula1>$AG$23:$AG$28</formula1>
    </dataValidation>
    <dataValidation type="list" allowBlank="1" showInputMessage="1" showErrorMessage="1" sqref="Q4:Q21">
      <formula1>$Q$23:$Q$25</formula1>
    </dataValidation>
    <dataValidation type="list" allowBlank="1" showInputMessage="1" showErrorMessage="1" sqref="O4:O21">
      <formula1>$O$23:$O$24</formula1>
    </dataValidation>
    <dataValidation type="list" allowBlank="1" showInputMessage="1" showErrorMessage="1" sqref="P4:P21">
      <formula1>$P$23:$P$24</formula1>
    </dataValidation>
    <dataValidation type="list" allowBlank="1" showInputMessage="1" showErrorMessage="1" sqref="S4:S21">
      <formula1>$S$23:$S$24</formula1>
    </dataValidation>
    <dataValidation type="list" allowBlank="1" showInputMessage="1" showErrorMessage="1" sqref="T4:T21">
      <formula1>$T$23:$T$37</formula1>
    </dataValidation>
    <dataValidation type="list" allowBlank="1" showInputMessage="1" showErrorMessage="1" sqref="B4:B21">
      <formula1>Plan2!B3:B7</formula1>
    </dataValidation>
    <dataValidation type="list" allowBlank="1" showInputMessage="1" showErrorMessage="1" sqref="A4:A21">
      <formula1>Plan2!C3:C23</formula1>
    </dataValidation>
    <dataValidation type="list" allowBlank="1" showInputMessage="1" showErrorMessage="1" sqref="F4:F21">
      <formula1>$F$24:$F$41</formula1>
    </dataValidation>
    <dataValidation type="list" allowBlank="1" showInputMessage="1" showErrorMessage="1" sqref="I4:K21">
      <formula1>$I$23:$I$24</formula1>
    </dataValidation>
    <dataValidation type="list" allowBlank="1" showInputMessage="1" showErrorMessage="1" sqref="C4:C21">
      <formula1>$C$24:$C$41</formula1>
    </dataValidation>
    <dataValidation type="list" allowBlank="1" showInputMessage="1" showErrorMessage="1" sqref="D4:D21">
      <formula1>$D$24:$D$41</formula1>
    </dataValidation>
    <dataValidation type="list" allowBlank="1" showInputMessage="1" showErrorMessage="1" sqref="E4:E21">
      <formula1>$E$24:$E$41</formula1>
    </dataValidation>
  </dataValidations>
  <pageMargins left="0.511811024" right="0.511811024" top="0.78740157499999996" bottom="0.78740157499999996" header="0.31496062000000002" footer="0.31496062000000002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1"/>
  <dimension ref="A1:AA23"/>
  <sheetViews>
    <sheetView tabSelected="1" workbookViewId="0">
      <selection activeCell="D15" sqref="D15"/>
    </sheetView>
  </sheetViews>
  <sheetFormatPr defaultRowHeight="15" outlineLevelCol="1"/>
  <cols>
    <col min="1" max="1" width="20.28515625" bestFit="1" customWidth="1"/>
    <col min="2" max="10" width="9.28515625" bestFit="1" customWidth="1"/>
    <col min="11" max="13" width="9.5703125" bestFit="1" customWidth="1"/>
    <col min="14" max="14" width="14.7109375" hidden="1" customWidth="1" outlineLevel="1"/>
    <col min="15" max="25" width="9.140625" hidden="1" customWidth="1" outlineLevel="1"/>
    <col min="26" max="26" width="14.7109375" bestFit="1" customWidth="1" collapsed="1"/>
    <col min="27" max="27" width="22.42578125" bestFit="1" customWidth="1"/>
  </cols>
  <sheetData>
    <row r="1" spans="1:27" s="69" customFormat="1">
      <c r="A1" s="110" t="s">
        <v>224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2"/>
    </row>
    <row r="2" spans="1:27" s="69" customFormat="1">
      <c r="A2" s="113" t="s">
        <v>222</v>
      </c>
      <c r="B2" s="100">
        <v>1.5</v>
      </c>
      <c r="C2" s="100">
        <v>2.5</v>
      </c>
      <c r="D2" s="100">
        <v>4</v>
      </c>
      <c r="E2" s="100">
        <v>6</v>
      </c>
      <c r="F2" s="100">
        <v>10</v>
      </c>
      <c r="G2" s="100">
        <v>16</v>
      </c>
      <c r="H2" s="100">
        <v>25</v>
      </c>
      <c r="I2" s="100">
        <v>35</v>
      </c>
      <c r="J2" s="100">
        <v>50</v>
      </c>
      <c r="K2" s="100">
        <v>70</v>
      </c>
      <c r="L2" s="100">
        <v>95</v>
      </c>
      <c r="M2" s="114">
        <v>120</v>
      </c>
    </row>
    <row r="3" spans="1:27" s="69" customFormat="1">
      <c r="A3" s="113" t="s">
        <v>225</v>
      </c>
      <c r="B3" s="100">
        <v>3</v>
      </c>
      <c r="C3" s="100">
        <v>3.7</v>
      </c>
      <c r="D3" s="100">
        <v>4.2</v>
      </c>
      <c r="E3" s="100">
        <v>4.5999999999999996</v>
      </c>
      <c r="F3" s="100">
        <v>5.9</v>
      </c>
      <c r="G3" s="100">
        <v>6.9</v>
      </c>
      <c r="H3" s="100">
        <v>8.5</v>
      </c>
      <c r="I3" s="100">
        <v>9.5</v>
      </c>
      <c r="J3" s="100">
        <v>11</v>
      </c>
      <c r="K3" s="100">
        <v>13</v>
      </c>
      <c r="L3" s="100">
        <v>15</v>
      </c>
      <c r="M3" s="114">
        <v>16.5</v>
      </c>
    </row>
    <row r="4" spans="1:27" s="69" customFormat="1" ht="15.75" thickBot="1">
      <c r="A4" s="119" t="s">
        <v>223</v>
      </c>
      <c r="B4" s="120">
        <f>ROUND(PI()*B3^2/4,2)</f>
        <v>7.07</v>
      </c>
      <c r="C4" s="120">
        <f>ROUND(PI()*C3^2/4,2)</f>
        <v>10.75</v>
      </c>
      <c r="D4" s="120">
        <f>ROUND(PI()*D3^2/4,2)</f>
        <v>13.85</v>
      </c>
      <c r="E4" s="120">
        <f>ROUND(PI()*E3^2/4,2)</f>
        <v>16.62</v>
      </c>
      <c r="F4" s="120">
        <f>ROUND(PI()*F3^2/4,2)</f>
        <v>27.34</v>
      </c>
      <c r="G4" s="120">
        <f>ROUND(PI()*G3^2/4,2)</f>
        <v>37.39</v>
      </c>
      <c r="H4" s="120">
        <f>ROUND(PI()*H3^2/4,2)</f>
        <v>56.75</v>
      </c>
      <c r="I4" s="120">
        <f>ROUND(PI()*I3^2/4,2)</f>
        <v>70.88</v>
      </c>
      <c r="J4" s="120">
        <f>ROUND(PI()*J3^2/4,2)</f>
        <v>95.03</v>
      </c>
      <c r="K4" s="120">
        <f>ROUND(PI()*K3^2/4,2)</f>
        <v>132.72999999999999</v>
      </c>
      <c r="L4" s="120">
        <f>ROUND(PI()*L3^2/4,2)</f>
        <v>176.71</v>
      </c>
      <c r="M4" s="121">
        <f>ROUND(PI()*M3^2/4,2)</f>
        <v>213.82</v>
      </c>
    </row>
    <row r="5" spans="1:27" ht="15.75" thickBot="1"/>
    <row r="6" spans="1:27" ht="15.75" thickBot="1">
      <c r="A6" s="137" t="s">
        <v>226</v>
      </c>
      <c r="B6" s="138"/>
      <c r="C6" s="138"/>
      <c r="D6" s="138"/>
      <c r="E6" s="138"/>
      <c r="F6" s="138"/>
      <c r="G6" s="138"/>
      <c r="H6" s="139"/>
      <c r="I6" s="104"/>
      <c r="J6" s="104"/>
      <c r="K6" s="104"/>
      <c r="L6" s="104"/>
      <c r="M6" s="104"/>
    </row>
    <row r="7" spans="1:27">
      <c r="A7" s="133" t="s">
        <v>228</v>
      </c>
      <c r="B7" s="134" t="s">
        <v>231</v>
      </c>
      <c r="C7" s="135" t="s">
        <v>232</v>
      </c>
      <c r="D7" s="135" t="s">
        <v>233</v>
      </c>
      <c r="E7" s="135" t="s">
        <v>234</v>
      </c>
      <c r="F7" s="135" t="s">
        <v>235</v>
      </c>
      <c r="G7" s="135" t="s">
        <v>236</v>
      </c>
      <c r="H7" s="136">
        <v>2</v>
      </c>
      <c r="I7" s="101"/>
      <c r="J7" s="105"/>
      <c r="K7" s="101"/>
      <c r="L7" s="101"/>
      <c r="M7" s="101"/>
      <c r="N7" s="102"/>
    </row>
    <row r="8" spans="1:27">
      <c r="A8" s="131" t="s">
        <v>227</v>
      </c>
      <c r="B8" s="128">
        <v>16</v>
      </c>
      <c r="C8" s="108">
        <v>20</v>
      </c>
      <c r="D8" s="108">
        <v>25</v>
      </c>
      <c r="E8" s="108">
        <v>32</v>
      </c>
      <c r="F8" s="108">
        <v>40</v>
      </c>
      <c r="G8" s="108">
        <v>50</v>
      </c>
      <c r="H8" s="115">
        <v>60</v>
      </c>
      <c r="I8" s="101"/>
      <c r="J8" s="101"/>
      <c r="K8" s="101"/>
      <c r="L8" s="101"/>
      <c r="M8" s="101"/>
      <c r="N8" s="102"/>
    </row>
    <row r="9" spans="1:27">
      <c r="A9" s="126" t="s">
        <v>229</v>
      </c>
      <c r="B9" s="129">
        <v>12.8</v>
      </c>
      <c r="C9" s="106">
        <v>16.399999999999999</v>
      </c>
      <c r="D9" s="106">
        <v>21.3</v>
      </c>
      <c r="E9" s="106">
        <v>27.5</v>
      </c>
      <c r="F9" s="106">
        <v>36.1</v>
      </c>
      <c r="G9" s="106">
        <v>41.4</v>
      </c>
      <c r="H9" s="116">
        <v>52.8</v>
      </c>
      <c r="I9" s="103"/>
      <c r="J9" s="103"/>
      <c r="K9" s="103"/>
      <c r="L9" s="103"/>
      <c r="M9" s="103"/>
      <c r="N9" s="102"/>
    </row>
    <row r="10" spans="1:27">
      <c r="A10" s="126" t="s">
        <v>230</v>
      </c>
      <c r="B10" s="129">
        <f>ROUND(PI()*(B9^2)/4,2)</f>
        <v>128.68</v>
      </c>
      <c r="C10" s="106">
        <f t="shared" ref="C10:H10" si="0">ROUND(PI()*(C9^2)/4,2)</f>
        <v>211.24</v>
      </c>
      <c r="D10" s="106">
        <f t="shared" si="0"/>
        <v>356.33</v>
      </c>
      <c r="E10" s="106">
        <f t="shared" si="0"/>
        <v>593.96</v>
      </c>
      <c r="F10" s="106">
        <f t="shared" si="0"/>
        <v>1023.54</v>
      </c>
      <c r="G10" s="106">
        <f t="shared" si="0"/>
        <v>1346.14</v>
      </c>
      <c r="H10" s="116">
        <f t="shared" si="0"/>
        <v>2189.56</v>
      </c>
      <c r="I10" s="103"/>
      <c r="J10" s="103"/>
      <c r="K10" s="103"/>
      <c r="L10" s="103"/>
      <c r="M10" s="103"/>
      <c r="N10" s="102"/>
    </row>
    <row r="11" spans="1:27" ht="15.75" thickBot="1">
      <c r="A11" s="132" t="s">
        <v>237</v>
      </c>
      <c r="B11" s="130">
        <f>ROUND(B10*0.4,2)</f>
        <v>51.47</v>
      </c>
      <c r="C11" s="117">
        <f t="shared" ref="C11:H11" si="1">ROUND(C10*0.4,2)</f>
        <v>84.5</v>
      </c>
      <c r="D11" s="117">
        <f t="shared" si="1"/>
        <v>142.53</v>
      </c>
      <c r="E11" s="117">
        <f t="shared" si="1"/>
        <v>237.58</v>
      </c>
      <c r="F11" s="117">
        <f t="shared" si="1"/>
        <v>409.42</v>
      </c>
      <c r="G11" s="117">
        <f t="shared" si="1"/>
        <v>538.46</v>
      </c>
      <c r="H11" s="118">
        <f t="shared" si="1"/>
        <v>875.82</v>
      </c>
      <c r="I11" s="103"/>
      <c r="J11" s="103"/>
      <c r="K11" s="102"/>
      <c r="L11" s="102"/>
      <c r="M11" s="102"/>
      <c r="N11" s="102"/>
    </row>
    <row r="12" spans="1:27" ht="15.75" thickBot="1">
      <c r="C12" s="60"/>
      <c r="D12" s="60"/>
      <c r="E12" s="60"/>
      <c r="F12" s="60"/>
      <c r="G12" s="60"/>
      <c r="H12" s="60"/>
      <c r="I12" s="103"/>
      <c r="J12" s="103"/>
    </row>
    <row r="13" spans="1:27">
      <c r="A13" s="125"/>
      <c r="B13" s="124" t="s">
        <v>248</v>
      </c>
      <c r="C13" s="122"/>
      <c r="D13" s="122"/>
      <c r="E13" s="122"/>
      <c r="F13" s="122"/>
      <c r="G13" s="122"/>
      <c r="H13" s="122"/>
      <c r="I13" s="122"/>
      <c r="J13" s="122"/>
      <c r="K13" s="122"/>
      <c r="L13" s="122"/>
      <c r="M13" s="122"/>
      <c r="N13" s="122" t="s">
        <v>249</v>
      </c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59"/>
      <c r="Z13" s="163" t="s">
        <v>250</v>
      </c>
      <c r="AA13" s="163" t="s">
        <v>251</v>
      </c>
    </row>
    <row r="14" spans="1:27" ht="15.75" thickBot="1">
      <c r="A14" s="140" t="s">
        <v>238</v>
      </c>
      <c r="B14" s="144">
        <v>1.5</v>
      </c>
      <c r="C14" s="145">
        <v>2.5</v>
      </c>
      <c r="D14" s="145">
        <v>4</v>
      </c>
      <c r="E14" s="145">
        <v>6</v>
      </c>
      <c r="F14" s="145">
        <v>10</v>
      </c>
      <c r="G14" s="145">
        <v>16</v>
      </c>
      <c r="H14" s="145">
        <v>25</v>
      </c>
      <c r="I14" s="145">
        <v>35</v>
      </c>
      <c r="J14" s="145">
        <v>50</v>
      </c>
      <c r="K14" s="145">
        <v>70</v>
      </c>
      <c r="L14" s="145">
        <v>95</v>
      </c>
      <c r="M14" s="145">
        <v>120</v>
      </c>
      <c r="N14" s="109">
        <v>1.5</v>
      </c>
      <c r="O14" s="109">
        <v>2.5</v>
      </c>
      <c r="P14" s="109">
        <v>4</v>
      </c>
      <c r="Q14" s="109">
        <v>6</v>
      </c>
      <c r="R14" s="109">
        <v>10</v>
      </c>
      <c r="S14" s="109">
        <v>16</v>
      </c>
      <c r="T14" s="109">
        <v>25</v>
      </c>
      <c r="U14" s="109">
        <v>35</v>
      </c>
      <c r="V14" s="109">
        <v>50</v>
      </c>
      <c r="W14" s="109">
        <v>70</v>
      </c>
      <c r="X14" s="109">
        <v>95</v>
      </c>
      <c r="Y14" s="160">
        <v>120</v>
      </c>
      <c r="Z14" s="164"/>
      <c r="AA14" s="165"/>
    </row>
    <row r="15" spans="1:27" ht="15" customHeight="1">
      <c r="A15" s="141" t="s">
        <v>239</v>
      </c>
      <c r="B15" s="148">
        <v>3</v>
      </c>
      <c r="C15" s="149">
        <v>3</v>
      </c>
      <c r="D15" s="149"/>
      <c r="E15" s="149"/>
      <c r="F15" s="149"/>
      <c r="G15" s="149"/>
      <c r="H15" s="149"/>
      <c r="I15" s="149"/>
      <c r="J15" s="149"/>
      <c r="K15" s="149"/>
      <c r="L15" s="149"/>
      <c r="M15" s="150"/>
      <c r="N15" s="142">
        <f>B15*B$4</f>
        <v>21.21</v>
      </c>
      <c r="O15" s="107">
        <f t="shared" ref="O15:Y23" si="2">C15*C$4</f>
        <v>32.25</v>
      </c>
      <c r="P15" s="107">
        <f t="shared" si="2"/>
        <v>0</v>
      </c>
      <c r="Q15" s="107">
        <f t="shared" si="2"/>
        <v>0</v>
      </c>
      <c r="R15" s="107">
        <f t="shared" si="2"/>
        <v>0</v>
      </c>
      <c r="S15" s="107">
        <f t="shared" si="2"/>
        <v>0</v>
      </c>
      <c r="T15" s="107">
        <f t="shared" si="2"/>
        <v>0</v>
      </c>
      <c r="U15" s="107">
        <f t="shared" si="2"/>
        <v>0</v>
      </c>
      <c r="V15" s="107">
        <f t="shared" si="2"/>
        <v>0</v>
      </c>
      <c r="W15" s="107">
        <f t="shared" si="2"/>
        <v>0</v>
      </c>
      <c r="X15" s="107">
        <f t="shared" si="2"/>
        <v>0</v>
      </c>
      <c r="Y15" s="146">
        <f t="shared" si="2"/>
        <v>0</v>
      </c>
      <c r="Z15" s="161">
        <f>SUM(N15:Y15)</f>
        <v>53.46</v>
      </c>
      <c r="AA15" s="157">
        <f>Z15/0.4</f>
        <v>133.65</v>
      </c>
    </row>
    <row r="16" spans="1:27">
      <c r="A16" s="126" t="s">
        <v>240</v>
      </c>
      <c r="B16" s="151"/>
      <c r="C16" s="152"/>
      <c r="D16" s="152"/>
      <c r="E16" s="152"/>
      <c r="F16" s="152"/>
      <c r="G16" s="152"/>
      <c r="H16" s="152"/>
      <c r="I16" s="152"/>
      <c r="J16" s="152"/>
      <c r="K16" s="152"/>
      <c r="L16" s="152"/>
      <c r="M16" s="153"/>
      <c r="N16" s="142">
        <f t="shared" ref="N16:N23" si="3">B16*B$4</f>
        <v>0</v>
      </c>
      <c r="O16" s="107">
        <f t="shared" si="2"/>
        <v>0</v>
      </c>
      <c r="P16" s="107">
        <f t="shared" si="2"/>
        <v>0</v>
      </c>
      <c r="Q16" s="107">
        <f t="shared" si="2"/>
        <v>0</v>
      </c>
      <c r="R16" s="107">
        <f t="shared" si="2"/>
        <v>0</v>
      </c>
      <c r="S16" s="107">
        <f t="shared" si="2"/>
        <v>0</v>
      </c>
      <c r="T16" s="107">
        <f t="shared" si="2"/>
        <v>0</v>
      </c>
      <c r="U16" s="107">
        <f t="shared" si="2"/>
        <v>0</v>
      </c>
      <c r="V16" s="107">
        <f t="shared" si="2"/>
        <v>0</v>
      </c>
      <c r="W16" s="107">
        <f t="shared" si="2"/>
        <v>0</v>
      </c>
      <c r="X16" s="107">
        <f t="shared" si="2"/>
        <v>0</v>
      </c>
      <c r="Y16" s="146">
        <f t="shared" si="2"/>
        <v>0</v>
      </c>
      <c r="Z16" s="161">
        <f t="shared" ref="Z16:Z23" si="4">SUM(N16:Y16)</f>
        <v>0</v>
      </c>
      <c r="AA16" s="157">
        <f t="shared" ref="AA16:AA23" si="5">Z16/0.4</f>
        <v>0</v>
      </c>
    </row>
    <row r="17" spans="1:27">
      <c r="A17" s="126" t="s">
        <v>241</v>
      </c>
      <c r="B17" s="151"/>
      <c r="C17" s="152"/>
      <c r="D17" s="152"/>
      <c r="E17" s="152"/>
      <c r="F17" s="152"/>
      <c r="G17" s="152"/>
      <c r="H17" s="152"/>
      <c r="I17" s="152"/>
      <c r="J17" s="152"/>
      <c r="K17" s="152"/>
      <c r="L17" s="152"/>
      <c r="M17" s="153"/>
      <c r="N17" s="142">
        <f t="shared" si="3"/>
        <v>0</v>
      </c>
      <c r="O17" s="107">
        <f t="shared" si="2"/>
        <v>0</v>
      </c>
      <c r="P17" s="107">
        <f t="shared" si="2"/>
        <v>0</v>
      </c>
      <c r="Q17" s="107">
        <f t="shared" si="2"/>
        <v>0</v>
      </c>
      <c r="R17" s="107">
        <f t="shared" si="2"/>
        <v>0</v>
      </c>
      <c r="S17" s="107">
        <f t="shared" si="2"/>
        <v>0</v>
      </c>
      <c r="T17" s="107">
        <f t="shared" si="2"/>
        <v>0</v>
      </c>
      <c r="U17" s="107">
        <f t="shared" si="2"/>
        <v>0</v>
      </c>
      <c r="V17" s="107">
        <f t="shared" si="2"/>
        <v>0</v>
      </c>
      <c r="W17" s="107">
        <f t="shared" si="2"/>
        <v>0</v>
      </c>
      <c r="X17" s="107">
        <f t="shared" si="2"/>
        <v>0</v>
      </c>
      <c r="Y17" s="146">
        <f t="shared" si="2"/>
        <v>0</v>
      </c>
      <c r="Z17" s="161">
        <f t="shared" si="4"/>
        <v>0</v>
      </c>
      <c r="AA17" s="157">
        <f t="shared" si="5"/>
        <v>0</v>
      </c>
    </row>
    <row r="18" spans="1:27">
      <c r="A18" s="126" t="s">
        <v>242</v>
      </c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42">
        <f t="shared" si="3"/>
        <v>0</v>
      </c>
      <c r="O18" s="107">
        <f t="shared" si="2"/>
        <v>0</v>
      </c>
      <c r="P18" s="107">
        <f t="shared" si="2"/>
        <v>0</v>
      </c>
      <c r="Q18" s="107">
        <f t="shared" si="2"/>
        <v>0</v>
      </c>
      <c r="R18" s="107">
        <f t="shared" si="2"/>
        <v>0</v>
      </c>
      <c r="S18" s="107">
        <f t="shared" si="2"/>
        <v>0</v>
      </c>
      <c r="T18" s="107">
        <f t="shared" si="2"/>
        <v>0</v>
      </c>
      <c r="U18" s="107">
        <f t="shared" si="2"/>
        <v>0</v>
      </c>
      <c r="V18" s="107">
        <f t="shared" si="2"/>
        <v>0</v>
      </c>
      <c r="W18" s="107">
        <f t="shared" si="2"/>
        <v>0</v>
      </c>
      <c r="X18" s="107">
        <f t="shared" si="2"/>
        <v>0</v>
      </c>
      <c r="Y18" s="146">
        <f t="shared" si="2"/>
        <v>0</v>
      </c>
      <c r="Z18" s="161">
        <f t="shared" si="4"/>
        <v>0</v>
      </c>
      <c r="AA18" s="157">
        <f t="shared" si="5"/>
        <v>0</v>
      </c>
    </row>
    <row r="19" spans="1:27">
      <c r="A19" s="126" t="s">
        <v>243</v>
      </c>
      <c r="B19" s="151"/>
      <c r="C19" s="152"/>
      <c r="D19" s="152"/>
      <c r="E19" s="152"/>
      <c r="F19" s="152"/>
      <c r="G19" s="152"/>
      <c r="H19" s="152"/>
      <c r="I19" s="152"/>
      <c r="J19" s="152"/>
      <c r="K19" s="152"/>
      <c r="L19" s="152"/>
      <c r="M19" s="153"/>
      <c r="N19" s="142">
        <f t="shared" si="3"/>
        <v>0</v>
      </c>
      <c r="O19" s="107">
        <f t="shared" si="2"/>
        <v>0</v>
      </c>
      <c r="P19" s="107">
        <f t="shared" si="2"/>
        <v>0</v>
      </c>
      <c r="Q19" s="107">
        <f t="shared" si="2"/>
        <v>0</v>
      </c>
      <c r="R19" s="107">
        <f t="shared" si="2"/>
        <v>0</v>
      </c>
      <c r="S19" s="107">
        <f t="shared" si="2"/>
        <v>0</v>
      </c>
      <c r="T19" s="107">
        <f t="shared" si="2"/>
        <v>0</v>
      </c>
      <c r="U19" s="107">
        <f t="shared" si="2"/>
        <v>0</v>
      </c>
      <c r="V19" s="107">
        <f t="shared" si="2"/>
        <v>0</v>
      </c>
      <c r="W19" s="107">
        <f t="shared" si="2"/>
        <v>0</v>
      </c>
      <c r="X19" s="107">
        <f t="shared" si="2"/>
        <v>0</v>
      </c>
      <c r="Y19" s="146">
        <f t="shared" si="2"/>
        <v>0</v>
      </c>
      <c r="Z19" s="161">
        <f t="shared" si="4"/>
        <v>0</v>
      </c>
      <c r="AA19" s="157">
        <f t="shared" si="5"/>
        <v>0</v>
      </c>
    </row>
    <row r="20" spans="1:27">
      <c r="A20" s="126" t="s">
        <v>244</v>
      </c>
      <c r="B20" s="151"/>
      <c r="C20" s="152"/>
      <c r="D20" s="152"/>
      <c r="E20" s="152"/>
      <c r="F20" s="152"/>
      <c r="G20" s="152"/>
      <c r="H20" s="152"/>
      <c r="I20" s="152"/>
      <c r="J20" s="152"/>
      <c r="K20" s="152"/>
      <c r="L20" s="152"/>
      <c r="M20" s="153"/>
      <c r="N20" s="142">
        <f t="shared" si="3"/>
        <v>0</v>
      </c>
      <c r="O20" s="107">
        <f t="shared" si="2"/>
        <v>0</v>
      </c>
      <c r="P20" s="107">
        <f t="shared" si="2"/>
        <v>0</v>
      </c>
      <c r="Q20" s="107">
        <f t="shared" si="2"/>
        <v>0</v>
      </c>
      <c r="R20" s="107">
        <f t="shared" si="2"/>
        <v>0</v>
      </c>
      <c r="S20" s="107">
        <f t="shared" si="2"/>
        <v>0</v>
      </c>
      <c r="T20" s="107">
        <f t="shared" si="2"/>
        <v>0</v>
      </c>
      <c r="U20" s="107">
        <f t="shared" si="2"/>
        <v>0</v>
      </c>
      <c r="V20" s="107">
        <f t="shared" si="2"/>
        <v>0</v>
      </c>
      <c r="W20" s="107">
        <f t="shared" si="2"/>
        <v>0</v>
      </c>
      <c r="X20" s="107">
        <f t="shared" si="2"/>
        <v>0</v>
      </c>
      <c r="Y20" s="146">
        <f t="shared" si="2"/>
        <v>0</v>
      </c>
      <c r="Z20" s="161">
        <f t="shared" si="4"/>
        <v>0</v>
      </c>
      <c r="AA20" s="157">
        <f t="shared" si="5"/>
        <v>0</v>
      </c>
    </row>
    <row r="21" spans="1:27">
      <c r="A21" s="126" t="s">
        <v>245</v>
      </c>
      <c r="B21" s="151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3"/>
      <c r="N21" s="142">
        <f t="shared" si="3"/>
        <v>0</v>
      </c>
      <c r="O21" s="107">
        <f t="shared" si="2"/>
        <v>0</v>
      </c>
      <c r="P21" s="107">
        <f t="shared" si="2"/>
        <v>0</v>
      </c>
      <c r="Q21" s="107">
        <f t="shared" si="2"/>
        <v>0</v>
      </c>
      <c r="R21" s="107">
        <f t="shared" si="2"/>
        <v>0</v>
      </c>
      <c r="S21" s="107">
        <f t="shared" si="2"/>
        <v>0</v>
      </c>
      <c r="T21" s="107">
        <f t="shared" si="2"/>
        <v>0</v>
      </c>
      <c r="U21" s="107">
        <f t="shared" si="2"/>
        <v>0</v>
      </c>
      <c r="V21" s="107">
        <f t="shared" si="2"/>
        <v>0</v>
      </c>
      <c r="W21" s="107">
        <f t="shared" si="2"/>
        <v>0</v>
      </c>
      <c r="X21" s="107">
        <f t="shared" si="2"/>
        <v>0</v>
      </c>
      <c r="Y21" s="146">
        <f t="shared" si="2"/>
        <v>0</v>
      </c>
      <c r="Z21" s="161">
        <f t="shared" si="4"/>
        <v>0</v>
      </c>
      <c r="AA21" s="157">
        <f t="shared" si="5"/>
        <v>0</v>
      </c>
    </row>
    <row r="22" spans="1:27">
      <c r="A22" s="126" t="s">
        <v>246</v>
      </c>
      <c r="B22" s="151"/>
      <c r="C22" s="152"/>
      <c r="D22" s="152"/>
      <c r="E22" s="152"/>
      <c r="F22" s="152"/>
      <c r="G22" s="152"/>
      <c r="H22" s="152"/>
      <c r="I22" s="152"/>
      <c r="J22" s="152"/>
      <c r="K22" s="152"/>
      <c r="L22" s="152"/>
      <c r="M22" s="153"/>
      <c r="N22" s="142">
        <f t="shared" si="3"/>
        <v>0</v>
      </c>
      <c r="O22" s="107">
        <f t="shared" si="2"/>
        <v>0</v>
      </c>
      <c r="P22" s="107">
        <f t="shared" si="2"/>
        <v>0</v>
      </c>
      <c r="Q22" s="107">
        <f t="shared" si="2"/>
        <v>0</v>
      </c>
      <c r="R22" s="107">
        <f t="shared" si="2"/>
        <v>0</v>
      </c>
      <c r="S22" s="107">
        <f t="shared" si="2"/>
        <v>0</v>
      </c>
      <c r="T22" s="107">
        <f t="shared" si="2"/>
        <v>0</v>
      </c>
      <c r="U22" s="107">
        <f t="shared" si="2"/>
        <v>0</v>
      </c>
      <c r="V22" s="107">
        <f t="shared" si="2"/>
        <v>0</v>
      </c>
      <c r="W22" s="107">
        <f t="shared" si="2"/>
        <v>0</v>
      </c>
      <c r="X22" s="107">
        <f t="shared" si="2"/>
        <v>0</v>
      </c>
      <c r="Y22" s="146">
        <f t="shared" si="2"/>
        <v>0</v>
      </c>
      <c r="Z22" s="161">
        <f t="shared" si="4"/>
        <v>0</v>
      </c>
      <c r="AA22" s="157">
        <f t="shared" si="5"/>
        <v>0</v>
      </c>
    </row>
    <row r="23" spans="1:27" ht="15.75" thickBot="1">
      <c r="A23" s="127" t="s">
        <v>247</v>
      </c>
      <c r="B23" s="154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6"/>
      <c r="N23" s="143">
        <f t="shared" si="3"/>
        <v>0</v>
      </c>
      <c r="O23" s="123">
        <f t="shared" si="2"/>
        <v>0</v>
      </c>
      <c r="P23" s="123">
        <f t="shared" si="2"/>
        <v>0</v>
      </c>
      <c r="Q23" s="123">
        <f t="shared" si="2"/>
        <v>0</v>
      </c>
      <c r="R23" s="123">
        <f t="shared" si="2"/>
        <v>0</v>
      </c>
      <c r="S23" s="123">
        <f t="shared" si="2"/>
        <v>0</v>
      </c>
      <c r="T23" s="123">
        <f t="shared" si="2"/>
        <v>0</v>
      </c>
      <c r="U23" s="123">
        <f t="shared" si="2"/>
        <v>0</v>
      </c>
      <c r="V23" s="123">
        <f t="shared" si="2"/>
        <v>0</v>
      </c>
      <c r="W23" s="123">
        <f t="shared" si="2"/>
        <v>0</v>
      </c>
      <c r="X23" s="123">
        <f t="shared" si="2"/>
        <v>0</v>
      </c>
      <c r="Y23" s="147">
        <f t="shared" si="2"/>
        <v>0</v>
      </c>
      <c r="Z23" s="162">
        <f t="shared" si="4"/>
        <v>0</v>
      </c>
      <c r="AA23" s="158">
        <f t="shared" si="5"/>
        <v>0</v>
      </c>
    </row>
  </sheetData>
  <mergeCells count="6">
    <mergeCell ref="N13:Y13"/>
    <mergeCell ref="Z13:Z14"/>
    <mergeCell ref="AA13:AA14"/>
    <mergeCell ref="A1:M1"/>
    <mergeCell ref="A6:H6"/>
    <mergeCell ref="B13:M13"/>
  </mergeCells>
  <pageMargins left="0.511811024" right="0.511811024" top="0.78740157499999996" bottom="0.78740157499999996" header="0.31496062000000002" footer="0.31496062000000002"/>
  <ignoredErrors>
    <ignoredError sqref="E7:G7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2:K23"/>
  <sheetViews>
    <sheetView workbookViewId="0">
      <selection activeCell="B7" sqref="B7"/>
    </sheetView>
  </sheetViews>
  <sheetFormatPr defaultRowHeight="15"/>
  <cols>
    <col min="1" max="1" width="15.28515625" bestFit="1" customWidth="1"/>
    <col min="2" max="2" width="22" bestFit="1" customWidth="1"/>
    <col min="3" max="3" width="22" customWidth="1"/>
    <col min="4" max="4" width="15.28515625" bestFit="1" customWidth="1"/>
    <col min="5" max="5" width="10.42578125" bestFit="1" customWidth="1"/>
    <col min="6" max="6" width="6" bestFit="1" customWidth="1"/>
    <col min="7" max="7" width="5" bestFit="1" customWidth="1"/>
  </cols>
  <sheetData>
    <row r="2" spans="1:11">
      <c r="D2" t="s">
        <v>32</v>
      </c>
      <c r="E2" t="s">
        <v>33</v>
      </c>
      <c r="F2" t="s">
        <v>34</v>
      </c>
      <c r="G2" t="s">
        <v>35</v>
      </c>
    </row>
    <row r="3" spans="1:11">
      <c r="A3" t="s">
        <v>20</v>
      </c>
      <c r="C3" t="s">
        <v>91</v>
      </c>
      <c r="D3" t="s">
        <v>4</v>
      </c>
      <c r="E3" t="s">
        <v>5</v>
      </c>
      <c r="F3">
        <v>3.5</v>
      </c>
      <c r="G3">
        <v>11</v>
      </c>
      <c r="H3">
        <v>2.5</v>
      </c>
      <c r="I3">
        <v>3</v>
      </c>
      <c r="J3">
        <f>I3*H3</f>
        <v>7.5</v>
      </c>
      <c r="K3">
        <f>H3+I3+H3+I3</f>
        <v>11</v>
      </c>
    </row>
    <row r="4" spans="1:11">
      <c r="A4" t="s">
        <v>23</v>
      </c>
      <c r="B4" t="s">
        <v>66</v>
      </c>
      <c r="C4" t="s">
        <v>92</v>
      </c>
      <c r="D4" t="s">
        <v>7</v>
      </c>
      <c r="E4" t="s">
        <v>8</v>
      </c>
      <c r="F4">
        <v>4.5</v>
      </c>
      <c r="G4">
        <v>9</v>
      </c>
      <c r="H4">
        <v>1.5</v>
      </c>
      <c r="I4">
        <v>3</v>
      </c>
      <c r="J4">
        <f t="shared" ref="J4:J7" si="0">I4*H4</f>
        <v>4.5</v>
      </c>
      <c r="K4">
        <f t="shared" ref="K4:K7" si="1">H4+I4+H4+I4</f>
        <v>9</v>
      </c>
    </row>
    <row r="5" spans="1:11">
      <c r="A5" t="s">
        <v>13</v>
      </c>
      <c r="B5" t="s">
        <v>67</v>
      </c>
      <c r="C5" t="s">
        <v>93</v>
      </c>
      <c r="D5" t="s">
        <v>13</v>
      </c>
      <c r="E5" t="s">
        <v>14</v>
      </c>
      <c r="F5">
        <v>3.25</v>
      </c>
      <c r="G5">
        <v>7.6</v>
      </c>
      <c r="H5">
        <v>1.3</v>
      </c>
      <c r="I5">
        <v>2.5</v>
      </c>
      <c r="J5">
        <f t="shared" si="0"/>
        <v>3.25</v>
      </c>
      <c r="K5">
        <f t="shared" si="1"/>
        <v>7.6</v>
      </c>
    </row>
    <row r="6" spans="1:11">
      <c r="A6" t="s">
        <v>24</v>
      </c>
      <c r="B6" t="s">
        <v>72</v>
      </c>
      <c r="C6" t="s">
        <v>94</v>
      </c>
      <c r="D6" t="s">
        <v>11</v>
      </c>
      <c r="E6" t="s">
        <v>12</v>
      </c>
      <c r="F6">
        <v>12.6</v>
      </c>
      <c r="G6">
        <v>14.4</v>
      </c>
      <c r="H6">
        <v>4.2</v>
      </c>
      <c r="I6">
        <v>3</v>
      </c>
      <c r="J6">
        <f t="shared" si="0"/>
        <v>12.600000000000001</v>
      </c>
      <c r="K6">
        <f t="shared" si="1"/>
        <v>14.4</v>
      </c>
    </row>
    <row r="7" spans="1:11">
      <c r="A7" t="s">
        <v>22</v>
      </c>
      <c r="B7" t="s">
        <v>88</v>
      </c>
      <c r="C7" t="s">
        <v>95</v>
      </c>
      <c r="D7" t="s">
        <v>9</v>
      </c>
      <c r="E7" t="s">
        <v>10</v>
      </c>
      <c r="F7">
        <v>11.25</v>
      </c>
      <c r="G7">
        <v>14</v>
      </c>
      <c r="H7">
        <v>2.5</v>
      </c>
      <c r="I7">
        <v>4.5</v>
      </c>
      <c r="J7">
        <f t="shared" si="0"/>
        <v>11.25</v>
      </c>
      <c r="K7">
        <f t="shared" si="1"/>
        <v>14</v>
      </c>
    </row>
    <row r="8" spans="1:11">
      <c r="A8" t="s">
        <v>26</v>
      </c>
      <c r="C8" t="s">
        <v>96</v>
      </c>
    </row>
    <row r="9" spans="1:11">
      <c r="A9" t="s">
        <v>27</v>
      </c>
      <c r="C9" t="s">
        <v>97</v>
      </c>
    </row>
    <row r="10" spans="1:11">
      <c r="A10" t="s">
        <v>28</v>
      </c>
      <c r="C10" t="s">
        <v>98</v>
      </c>
    </row>
    <row r="11" spans="1:11">
      <c r="A11" t="s">
        <v>29</v>
      </c>
      <c r="C11" t="s">
        <v>99</v>
      </c>
    </row>
    <row r="12" spans="1:11">
      <c r="A12" t="s">
        <v>30</v>
      </c>
      <c r="C12" t="s">
        <v>100</v>
      </c>
    </row>
    <row r="13" spans="1:11">
      <c r="A13" t="s">
        <v>25</v>
      </c>
      <c r="C13" t="s">
        <v>101</v>
      </c>
    </row>
    <row r="14" spans="1:11">
      <c r="A14" t="s">
        <v>31</v>
      </c>
      <c r="C14" t="s">
        <v>102</v>
      </c>
    </row>
    <row r="15" spans="1:11">
      <c r="A15" t="s">
        <v>21</v>
      </c>
      <c r="C15" t="s">
        <v>103</v>
      </c>
    </row>
    <row r="16" spans="1:11">
      <c r="C16" t="s">
        <v>104</v>
      </c>
    </row>
    <row r="17" spans="3:3">
      <c r="C17" t="s">
        <v>105</v>
      </c>
    </row>
    <row r="18" spans="3:3">
      <c r="C18" t="s">
        <v>106</v>
      </c>
    </row>
    <row r="19" spans="3:3">
      <c r="C19" t="s">
        <v>107</v>
      </c>
    </row>
    <row r="20" spans="3:3">
      <c r="C20" t="s">
        <v>108</v>
      </c>
    </row>
    <row r="21" spans="3:3">
      <c r="C21" t="s">
        <v>109</v>
      </c>
    </row>
    <row r="22" spans="3:3">
      <c r="C22" t="s">
        <v>110</v>
      </c>
    </row>
    <row r="23" spans="3:3">
      <c r="C23" t="s">
        <v>111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A1:AM20"/>
  <sheetViews>
    <sheetView topLeftCell="H5" workbookViewId="0">
      <selection activeCell="P20" sqref="P20"/>
    </sheetView>
  </sheetViews>
  <sheetFormatPr defaultColWidth="11" defaultRowHeight="15"/>
  <cols>
    <col min="1" max="1" width="17.42578125" style="8" bestFit="1" customWidth="1"/>
    <col min="2" max="3" width="11.42578125" style="8" customWidth="1"/>
    <col min="4" max="4" width="17.42578125" style="8" bestFit="1" customWidth="1"/>
    <col min="5" max="8" width="11.42578125" style="8" customWidth="1"/>
    <col min="9" max="9" width="14.85546875" style="8" bestFit="1" customWidth="1"/>
    <col min="10" max="12" width="11.42578125" style="8" customWidth="1"/>
    <col min="13" max="13" width="14.85546875" style="8" bestFit="1" customWidth="1"/>
    <col min="14" max="14" width="11" style="8"/>
    <col min="15" max="15" width="11" style="8" customWidth="1"/>
    <col min="16" max="16" width="34" style="8" bestFit="1" customWidth="1"/>
    <col min="17" max="37" width="4.85546875" style="38" customWidth="1"/>
    <col min="38" max="16384" width="11" style="8"/>
  </cols>
  <sheetData>
    <row r="1" spans="1:39">
      <c r="A1" s="8">
        <v>1</v>
      </c>
      <c r="B1" s="8">
        <v>2</v>
      </c>
      <c r="C1" s="8">
        <v>3</v>
      </c>
      <c r="D1" s="8">
        <v>4</v>
      </c>
      <c r="E1" s="8">
        <v>5</v>
      </c>
      <c r="F1" s="8">
        <v>6</v>
      </c>
      <c r="G1" s="8">
        <v>7</v>
      </c>
      <c r="H1" s="8">
        <v>8</v>
      </c>
      <c r="I1" s="27">
        <v>9</v>
      </c>
      <c r="J1" s="27">
        <v>10</v>
      </c>
      <c r="K1" s="27">
        <v>11</v>
      </c>
      <c r="L1" s="27">
        <v>12</v>
      </c>
      <c r="M1" s="27">
        <v>13</v>
      </c>
      <c r="N1" s="27">
        <v>14</v>
      </c>
      <c r="O1" s="27">
        <v>15</v>
      </c>
      <c r="P1" s="27">
        <v>16</v>
      </c>
      <c r="Q1" s="38">
        <v>17</v>
      </c>
      <c r="R1" s="38">
        <v>18</v>
      </c>
      <c r="S1" s="38">
        <v>19</v>
      </c>
      <c r="T1" s="38">
        <v>20</v>
      </c>
      <c r="U1" s="38">
        <v>21</v>
      </c>
      <c r="V1" s="38">
        <v>22</v>
      </c>
      <c r="W1" s="38">
        <v>23</v>
      </c>
      <c r="X1" s="38">
        <v>24</v>
      </c>
      <c r="Y1" s="38">
        <v>25</v>
      </c>
      <c r="Z1" s="38">
        <v>26</v>
      </c>
      <c r="AA1" s="38">
        <v>27</v>
      </c>
      <c r="AB1" s="38">
        <v>28</v>
      </c>
      <c r="AC1" s="38">
        <v>29</v>
      </c>
      <c r="AD1" s="38">
        <v>30</v>
      </c>
      <c r="AE1" s="38">
        <v>31</v>
      </c>
      <c r="AF1" s="38">
        <v>32</v>
      </c>
      <c r="AG1" s="38">
        <v>33</v>
      </c>
      <c r="AH1" s="38">
        <v>34</v>
      </c>
      <c r="AI1" s="38">
        <v>35</v>
      </c>
      <c r="AJ1" s="38">
        <v>36</v>
      </c>
      <c r="AK1" s="38">
        <v>37</v>
      </c>
      <c r="AL1" s="35">
        <v>38</v>
      </c>
      <c r="AM1" s="35">
        <v>39</v>
      </c>
    </row>
    <row r="2" spans="1:39">
      <c r="A2" s="20" t="s">
        <v>75</v>
      </c>
      <c r="B2" s="20" t="s">
        <v>79</v>
      </c>
      <c r="D2" s="20" t="s">
        <v>75</v>
      </c>
      <c r="E2" s="20" t="s">
        <v>81</v>
      </c>
      <c r="G2" s="19" t="s">
        <v>0</v>
      </c>
      <c r="H2" s="77" t="s">
        <v>138</v>
      </c>
      <c r="I2" s="77"/>
      <c r="K2" s="19" t="s">
        <v>0</v>
      </c>
      <c r="L2" s="77" t="s">
        <v>138</v>
      </c>
      <c r="M2" s="77"/>
    </row>
    <row r="3" spans="1:39">
      <c r="A3" s="20" t="s">
        <v>77</v>
      </c>
      <c r="B3" s="20" t="s">
        <v>78</v>
      </c>
      <c r="D3" s="20" t="s">
        <v>80</v>
      </c>
      <c r="E3" s="20" t="s">
        <v>76</v>
      </c>
      <c r="G3" s="19" t="s">
        <v>134</v>
      </c>
      <c r="H3" s="19" t="s">
        <v>132</v>
      </c>
      <c r="I3" s="19" t="s">
        <v>133</v>
      </c>
      <c r="K3" s="19" t="s">
        <v>135</v>
      </c>
      <c r="L3" s="19" t="s">
        <v>132</v>
      </c>
      <c r="M3" s="36" t="s">
        <v>133</v>
      </c>
      <c r="Q3" s="38">
        <v>1</v>
      </c>
      <c r="R3" s="38">
        <v>2</v>
      </c>
      <c r="S3" s="38">
        <v>3</v>
      </c>
      <c r="T3" s="38">
        <v>4</v>
      </c>
      <c r="U3" s="38">
        <v>5</v>
      </c>
      <c r="V3" s="38">
        <v>6</v>
      </c>
      <c r="W3" s="38">
        <v>7</v>
      </c>
      <c r="X3" s="38">
        <v>8</v>
      </c>
      <c r="Y3" s="38">
        <v>9</v>
      </c>
      <c r="Z3" s="38">
        <v>10</v>
      </c>
      <c r="AA3" s="38">
        <v>11</v>
      </c>
      <c r="AB3" s="38">
        <v>12</v>
      </c>
      <c r="AC3" s="38">
        <v>13</v>
      </c>
      <c r="AD3" s="38">
        <v>14</v>
      </c>
      <c r="AE3" s="38">
        <v>15</v>
      </c>
      <c r="AF3" s="38">
        <v>16</v>
      </c>
      <c r="AG3" s="38">
        <v>17</v>
      </c>
      <c r="AH3" s="38">
        <v>18</v>
      </c>
      <c r="AI3" s="38">
        <v>19</v>
      </c>
      <c r="AJ3" s="38">
        <v>20</v>
      </c>
      <c r="AK3" s="38">
        <v>21</v>
      </c>
    </row>
    <row r="4" spans="1:39" ht="45">
      <c r="A4" s="19">
        <v>2000</v>
      </c>
      <c r="B4" s="19">
        <v>0.75</v>
      </c>
      <c r="D4" s="19">
        <v>1</v>
      </c>
      <c r="E4" s="19">
        <v>1</v>
      </c>
      <c r="F4" s="8">
        <f>(G4+10)/5</f>
        <v>4</v>
      </c>
      <c r="G4" s="19">
        <v>10</v>
      </c>
      <c r="H4" s="19">
        <v>1.22</v>
      </c>
      <c r="I4" s="19">
        <v>1.1499999999999999</v>
      </c>
      <c r="K4" s="19">
        <v>10</v>
      </c>
      <c r="L4" s="19">
        <v>1.1000000000000001</v>
      </c>
      <c r="M4" s="19">
        <v>1.07</v>
      </c>
      <c r="O4" s="8">
        <v>1</v>
      </c>
      <c r="P4" s="9" t="s">
        <v>155</v>
      </c>
      <c r="Q4" s="32">
        <v>1</v>
      </c>
      <c r="R4" s="32">
        <v>0.8</v>
      </c>
      <c r="S4" s="32">
        <v>0.7</v>
      </c>
      <c r="T4" s="32">
        <v>0.65</v>
      </c>
      <c r="U4" s="32">
        <v>0.6</v>
      </c>
      <c r="V4" s="32">
        <v>0.56999999999999995</v>
      </c>
      <c r="W4" s="32">
        <v>0.54</v>
      </c>
      <c r="X4" s="32">
        <v>0.52</v>
      </c>
      <c r="Y4" s="32">
        <v>0.5</v>
      </c>
      <c r="Z4" s="32">
        <v>0.5</v>
      </c>
      <c r="AA4" s="32">
        <v>0.5</v>
      </c>
      <c r="AB4" s="32">
        <v>0.45</v>
      </c>
      <c r="AC4" s="32">
        <v>0.45</v>
      </c>
      <c r="AD4" s="32">
        <v>0.45</v>
      </c>
      <c r="AE4" s="32">
        <v>0.45</v>
      </c>
      <c r="AF4" s="32">
        <v>0.41</v>
      </c>
      <c r="AG4" s="32">
        <v>0.41</v>
      </c>
      <c r="AH4" s="32">
        <v>0.41</v>
      </c>
      <c r="AI4" s="32">
        <v>0.41</v>
      </c>
      <c r="AJ4" s="32">
        <v>0.38</v>
      </c>
      <c r="AK4" s="32">
        <v>0.38</v>
      </c>
    </row>
    <row r="5" spans="1:39" ht="45">
      <c r="A5" s="19">
        <v>3000</v>
      </c>
      <c r="B5" s="19">
        <v>0.66</v>
      </c>
      <c r="D5" s="19">
        <v>2</v>
      </c>
      <c r="E5" s="19">
        <v>1</v>
      </c>
      <c r="F5" s="35">
        <f t="shared" ref="F5:F18" si="0">(G5+10)/5</f>
        <v>5</v>
      </c>
      <c r="G5" s="19">
        <v>15</v>
      </c>
      <c r="H5" s="19">
        <v>1.17</v>
      </c>
      <c r="I5" s="19">
        <v>1.1200000000000001</v>
      </c>
      <c r="K5" s="19">
        <v>15</v>
      </c>
      <c r="L5" s="19">
        <v>1.05</v>
      </c>
      <c r="M5" s="19">
        <v>1.04</v>
      </c>
      <c r="O5" s="8">
        <v>2</v>
      </c>
      <c r="P5" s="9" t="s">
        <v>156</v>
      </c>
      <c r="Q5" s="32">
        <v>1</v>
      </c>
      <c r="R5" s="32">
        <v>0.85</v>
      </c>
      <c r="S5" s="32">
        <v>0.79</v>
      </c>
      <c r="T5" s="32">
        <v>0.75</v>
      </c>
      <c r="U5" s="32">
        <v>0.73</v>
      </c>
      <c r="V5" s="32">
        <v>0.72</v>
      </c>
      <c r="W5" s="32">
        <v>0.72</v>
      </c>
      <c r="X5" s="32">
        <v>0.71</v>
      </c>
      <c r="Y5" s="32">
        <v>0.7</v>
      </c>
      <c r="Z5" s="32">
        <v>0.7</v>
      </c>
      <c r="AA5" s="32">
        <v>0.7</v>
      </c>
      <c r="AB5" s="32">
        <v>0.7</v>
      </c>
      <c r="AC5" s="32">
        <v>0.7</v>
      </c>
      <c r="AD5" s="32">
        <v>0.7</v>
      </c>
      <c r="AE5" s="32">
        <v>0.7</v>
      </c>
      <c r="AF5" s="32">
        <v>0.7</v>
      </c>
      <c r="AG5" s="32">
        <v>0.7</v>
      </c>
      <c r="AH5" s="32">
        <v>0.7</v>
      </c>
      <c r="AI5" s="32">
        <v>0.7</v>
      </c>
      <c r="AJ5" s="32">
        <v>0.7</v>
      </c>
      <c r="AK5" s="32">
        <v>0.7</v>
      </c>
    </row>
    <row r="6" spans="1:39">
      <c r="A6" s="19">
        <v>4000</v>
      </c>
      <c r="B6" s="19">
        <v>0.59</v>
      </c>
      <c r="D6" s="19">
        <v>3</v>
      </c>
      <c r="E6" s="19">
        <v>0.84</v>
      </c>
      <c r="F6" s="35">
        <f t="shared" si="0"/>
        <v>6</v>
      </c>
      <c r="G6" s="19">
        <v>20</v>
      </c>
      <c r="H6" s="19">
        <v>1.1200000000000001</v>
      </c>
      <c r="I6" s="19">
        <v>1.08</v>
      </c>
      <c r="K6" s="19">
        <v>20</v>
      </c>
      <c r="L6" s="19">
        <v>1</v>
      </c>
      <c r="M6" s="19">
        <v>1</v>
      </c>
      <c r="O6" s="8">
        <v>3</v>
      </c>
      <c r="P6" s="9" t="s">
        <v>157</v>
      </c>
      <c r="Q6" s="32">
        <v>0.95</v>
      </c>
      <c r="R6" s="32">
        <v>0.81</v>
      </c>
      <c r="S6" s="32">
        <v>0.7</v>
      </c>
      <c r="T6" s="32">
        <v>0.68</v>
      </c>
      <c r="U6" s="32">
        <v>0.66</v>
      </c>
      <c r="V6" s="32">
        <v>0.64</v>
      </c>
      <c r="W6" s="32">
        <v>0.63</v>
      </c>
      <c r="X6" s="32">
        <v>0.62</v>
      </c>
      <c r="Y6" s="32">
        <v>0.61</v>
      </c>
      <c r="Z6" s="32">
        <v>0.61</v>
      </c>
      <c r="AA6" s="32">
        <v>0.61</v>
      </c>
      <c r="AB6" s="32">
        <v>0.61</v>
      </c>
      <c r="AC6" s="32">
        <v>0.61</v>
      </c>
      <c r="AD6" s="32">
        <v>0.61</v>
      </c>
      <c r="AE6" s="32">
        <v>0.61</v>
      </c>
      <c r="AF6" s="32">
        <v>0.61</v>
      </c>
      <c r="AG6" s="32">
        <v>0.61</v>
      </c>
      <c r="AH6" s="32">
        <v>0.61</v>
      </c>
      <c r="AI6" s="32">
        <v>0.61</v>
      </c>
      <c r="AJ6" s="32">
        <v>0.61</v>
      </c>
      <c r="AK6" s="32">
        <v>0.61</v>
      </c>
    </row>
    <row r="7" spans="1:39" ht="30">
      <c r="A7" s="19">
        <v>5000</v>
      </c>
      <c r="B7" s="19">
        <v>0.52</v>
      </c>
      <c r="D7" s="19">
        <v>4</v>
      </c>
      <c r="E7" s="19">
        <v>0.76</v>
      </c>
      <c r="F7" s="35">
        <f t="shared" si="0"/>
        <v>7</v>
      </c>
      <c r="G7" s="19">
        <v>25</v>
      </c>
      <c r="H7" s="19">
        <v>1.06</v>
      </c>
      <c r="I7" s="19">
        <v>1.04</v>
      </c>
      <c r="K7" s="19">
        <v>25</v>
      </c>
      <c r="L7" s="19">
        <v>0.95</v>
      </c>
      <c r="M7" s="19">
        <v>0.96</v>
      </c>
      <c r="O7" s="8">
        <v>4</v>
      </c>
      <c r="P7" s="9" t="s">
        <v>158</v>
      </c>
      <c r="Q7" s="32">
        <v>1</v>
      </c>
      <c r="R7" s="32">
        <v>0.88</v>
      </c>
      <c r="S7" s="32">
        <v>0.82</v>
      </c>
      <c r="T7" s="32">
        <v>0.77</v>
      </c>
      <c r="U7" s="32">
        <v>0.75</v>
      </c>
      <c r="V7" s="32">
        <v>0.73</v>
      </c>
      <c r="W7" s="32">
        <v>0.73</v>
      </c>
      <c r="X7" s="32">
        <v>0.72</v>
      </c>
      <c r="Y7" s="32">
        <v>0.72</v>
      </c>
      <c r="Z7" s="32">
        <v>0.72</v>
      </c>
      <c r="AA7" s="32">
        <v>0.72</v>
      </c>
      <c r="AB7" s="32">
        <v>0.72</v>
      </c>
      <c r="AC7" s="32">
        <v>0.72</v>
      </c>
      <c r="AD7" s="32">
        <v>0.72</v>
      </c>
      <c r="AE7" s="32">
        <v>0.72</v>
      </c>
      <c r="AF7" s="32">
        <v>0.72</v>
      </c>
      <c r="AG7" s="32">
        <v>0.72</v>
      </c>
      <c r="AH7" s="32">
        <v>0.72</v>
      </c>
      <c r="AI7" s="32">
        <v>0.72</v>
      </c>
      <c r="AJ7" s="32">
        <v>0.72</v>
      </c>
      <c r="AK7" s="32">
        <v>0.72</v>
      </c>
    </row>
    <row r="8" spans="1:39" ht="30">
      <c r="A8" s="19">
        <v>6000</v>
      </c>
      <c r="B8" s="19">
        <v>0.45</v>
      </c>
      <c r="D8" s="19">
        <v>5</v>
      </c>
      <c r="E8" s="19">
        <v>0.7</v>
      </c>
      <c r="F8" s="35">
        <f t="shared" si="0"/>
        <v>8</v>
      </c>
      <c r="G8" s="19">
        <v>30</v>
      </c>
      <c r="H8" s="19">
        <v>1</v>
      </c>
      <c r="I8" s="19">
        <v>1</v>
      </c>
      <c r="K8" s="19">
        <v>30</v>
      </c>
      <c r="L8" s="19">
        <v>0.89</v>
      </c>
      <c r="M8" s="19">
        <v>0.93</v>
      </c>
      <c r="O8" s="8">
        <v>5</v>
      </c>
      <c r="P8" s="9" t="s">
        <v>159</v>
      </c>
      <c r="Q8" s="32">
        <v>1</v>
      </c>
      <c r="R8" s="32">
        <v>0.87</v>
      </c>
      <c r="S8" s="32">
        <v>0.82</v>
      </c>
      <c r="T8" s="32">
        <v>0.8</v>
      </c>
      <c r="U8" s="32">
        <v>0.8</v>
      </c>
      <c r="V8" s="32">
        <v>0.79</v>
      </c>
      <c r="W8" s="32">
        <v>0.79</v>
      </c>
      <c r="X8" s="32">
        <v>0.78</v>
      </c>
      <c r="Y8" s="32">
        <v>0.78</v>
      </c>
      <c r="Z8" s="32">
        <v>0.78</v>
      </c>
      <c r="AA8" s="32">
        <v>0.78</v>
      </c>
      <c r="AB8" s="32">
        <v>0.78</v>
      </c>
      <c r="AC8" s="32">
        <v>0.78</v>
      </c>
      <c r="AD8" s="32">
        <v>0.78</v>
      </c>
      <c r="AE8" s="32">
        <v>0.78</v>
      </c>
      <c r="AF8" s="32">
        <v>0.78</v>
      </c>
      <c r="AG8" s="32">
        <v>0.78</v>
      </c>
      <c r="AH8" s="32">
        <v>0.78</v>
      </c>
      <c r="AI8" s="32">
        <v>0.78</v>
      </c>
      <c r="AJ8" s="32">
        <v>0.78</v>
      </c>
      <c r="AK8" s="32">
        <v>0.78</v>
      </c>
    </row>
    <row r="9" spans="1:39">
      <c r="A9" s="19">
        <v>7000</v>
      </c>
      <c r="B9" s="19">
        <v>0.4</v>
      </c>
      <c r="D9" s="19">
        <v>6</v>
      </c>
      <c r="E9" s="19">
        <v>0.65</v>
      </c>
      <c r="F9" s="35">
        <f t="shared" si="0"/>
        <v>9</v>
      </c>
      <c r="G9" s="19">
        <v>35</v>
      </c>
      <c r="H9" s="19">
        <v>0.94</v>
      </c>
      <c r="I9" s="19">
        <v>0.96</v>
      </c>
      <c r="K9" s="19">
        <v>35</v>
      </c>
      <c r="L9" s="19">
        <v>0.84</v>
      </c>
      <c r="M9" s="19">
        <v>0.89</v>
      </c>
    </row>
    <row r="10" spans="1:39">
      <c r="A10" s="19">
        <v>8000</v>
      </c>
      <c r="B10" s="19">
        <v>0.35</v>
      </c>
      <c r="D10" s="19">
        <v>7</v>
      </c>
      <c r="E10" s="19">
        <v>0.6</v>
      </c>
      <c r="F10" s="35">
        <f t="shared" si="0"/>
        <v>10</v>
      </c>
      <c r="G10" s="19">
        <v>40</v>
      </c>
      <c r="H10" s="19">
        <v>0.87</v>
      </c>
      <c r="I10" s="19">
        <v>0.91</v>
      </c>
      <c r="K10" s="19">
        <v>40</v>
      </c>
      <c r="L10" s="19">
        <v>0.77</v>
      </c>
      <c r="M10" s="19">
        <v>0.85</v>
      </c>
    </row>
    <row r="11" spans="1:39">
      <c r="A11" s="19">
        <v>9000</v>
      </c>
      <c r="B11" s="19">
        <v>0.31</v>
      </c>
      <c r="D11" s="19">
        <v>8</v>
      </c>
      <c r="E11" s="19">
        <v>0.56999999999999995</v>
      </c>
      <c r="F11" s="35">
        <f t="shared" si="0"/>
        <v>11</v>
      </c>
      <c r="G11" s="19">
        <v>45</v>
      </c>
      <c r="H11" s="19">
        <v>0.79</v>
      </c>
      <c r="I11" s="19">
        <v>0.87</v>
      </c>
      <c r="K11" s="19">
        <v>45</v>
      </c>
      <c r="L11" s="19">
        <v>0.71</v>
      </c>
      <c r="M11" s="19">
        <v>0.8</v>
      </c>
    </row>
    <row r="12" spans="1:39">
      <c r="A12" s="19">
        <v>10000</v>
      </c>
      <c r="B12" s="19">
        <v>0.27</v>
      </c>
      <c r="D12" s="19">
        <v>9</v>
      </c>
      <c r="E12" s="19">
        <v>0.54</v>
      </c>
      <c r="F12" s="35">
        <f t="shared" si="0"/>
        <v>12</v>
      </c>
      <c r="G12" s="19">
        <v>50</v>
      </c>
      <c r="H12" s="19">
        <v>0.71</v>
      </c>
      <c r="I12" s="19">
        <v>0.82</v>
      </c>
      <c r="K12" s="19">
        <v>50</v>
      </c>
      <c r="L12" s="19">
        <v>0.63</v>
      </c>
      <c r="M12" s="19">
        <v>0.76</v>
      </c>
    </row>
    <row r="13" spans="1:39">
      <c r="A13" s="19"/>
      <c r="B13" s="19">
        <v>0.24</v>
      </c>
      <c r="C13" s="8" t="s">
        <v>82</v>
      </c>
      <c r="D13" s="19">
        <v>10</v>
      </c>
      <c r="E13" s="19">
        <v>0.52</v>
      </c>
      <c r="F13" s="35">
        <f t="shared" si="0"/>
        <v>13</v>
      </c>
      <c r="G13" s="19">
        <v>55</v>
      </c>
      <c r="H13" s="19">
        <v>0.61</v>
      </c>
      <c r="I13" s="19">
        <v>0.76</v>
      </c>
      <c r="K13" s="19">
        <v>55</v>
      </c>
      <c r="L13" s="19">
        <v>0.55000000000000004</v>
      </c>
      <c r="M13" s="19">
        <v>0.71</v>
      </c>
    </row>
    <row r="14" spans="1:39">
      <c r="D14" s="19">
        <v>11</v>
      </c>
      <c r="E14" s="19">
        <v>0.49</v>
      </c>
      <c r="F14" s="35">
        <f t="shared" si="0"/>
        <v>14</v>
      </c>
      <c r="G14" s="19">
        <v>60</v>
      </c>
      <c r="H14" s="19">
        <v>0.5</v>
      </c>
      <c r="I14" s="19">
        <v>0.71</v>
      </c>
      <c r="K14" s="19">
        <v>60</v>
      </c>
      <c r="L14" s="19">
        <v>0.45</v>
      </c>
      <c r="M14" s="19">
        <v>0.65</v>
      </c>
    </row>
    <row r="15" spans="1:39">
      <c r="B15" s="17"/>
      <c r="C15" s="17"/>
      <c r="D15" s="19">
        <v>12</v>
      </c>
      <c r="E15" s="19">
        <v>0.48</v>
      </c>
      <c r="F15" s="35">
        <f t="shared" si="0"/>
        <v>15</v>
      </c>
      <c r="G15" s="19">
        <v>65</v>
      </c>
      <c r="H15" s="19" t="s">
        <v>137</v>
      </c>
      <c r="I15" s="19">
        <v>0.65</v>
      </c>
      <c r="J15" s="17"/>
      <c r="K15" s="19">
        <v>65</v>
      </c>
      <c r="L15" s="19" t="s">
        <v>137</v>
      </c>
      <c r="M15" s="19">
        <v>0.6</v>
      </c>
    </row>
    <row r="16" spans="1:39">
      <c r="B16" s="17"/>
      <c r="C16" s="17"/>
      <c r="D16" s="19">
        <v>0.84</v>
      </c>
      <c r="E16" s="19">
        <v>0.76</v>
      </c>
      <c r="F16" s="35">
        <f t="shared" si="0"/>
        <v>16</v>
      </c>
      <c r="G16" s="19">
        <v>70</v>
      </c>
      <c r="H16" s="19" t="s">
        <v>137</v>
      </c>
      <c r="I16" s="19">
        <v>0.57999999999999996</v>
      </c>
      <c r="J16" s="17"/>
      <c r="K16" s="19">
        <v>70</v>
      </c>
      <c r="L16" s="19" t="s">
        <v>137</v>
      </c>
      <c r="M16" s="19">
        <v>0.53</v>
      </c>
    </row>
    <row r="17" spans="1:13">
      <c r="B17" s="17"/>
      <c r="C17" s="17"/>
      <c r="F17" s="35">
        <f t="shared" si="0"/>
        <v>17</v>
      </c>
      <c r="G17" s="19">
        <v>75</v>
      </c>
      <c r="H17" s="19" t="s">
        <v>137</v>
      </c>
      <c r="I17" s="19">
        <v>0.5</v>
      </c>
      <c r="K17" s="19">
        <v>75</v>
      </c>
      <c r="L17" s="19" t="s">
        <v>137</v>
      </c>
      <c r="M17" s="19">
        <v>0.46</v>
      </c>
    </row>
    <row r="18" spans="1:13">
      <c r="F18" s="35">
        <f t="shared" si="0"/>
        <v>18</v>
      </c>
      <c r="G18" s="19">
        <v>80</v>
      </c>
      <c r="H18" s="19" t="s">
        <v>137</v>
      </c>
      <c r="I18" s="19">
        <v>0.41</v>
      </c>
      <c r="K18" s="19">
        <v>80</v>
      </c>
      <c r="L18" s="19" t="s">
        <v>137</v>
      </c>
      <c r="M18" s="19">
        <v>0.38</v>
      </c>
    </row>
    <row r="20" spans="1:13">
      <c r="A20" s="39"/>
      <c r="B20" s="39"/>
      <c r="C20" s="39"/>
    </row>
  </sheetData>
  <mergeCells count="2">
    <mergeCell ref="H2:I2"/>
    <mergeCell ref="L2:M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3:M178"/>
  <sheetViews>
    <sheetView topLeftCell="A26" workbookViewId="0">
      <selection activeCell="A36" sqref="A36"/>
    </sheetView>
  </sheetViews>
  <sheetFormatPr defaultRowHeight="15"/>
  <cols>
    <col min="1" max="1" width="11" style="39" customWidth="1"/>
    <col min="2" max="16384" width="9.140625" style="39"/>
  </cols>
  <sheetData>
    <row r="3" spans="1:13">
      <c r="A3" s="79" t="s">
        <v>160</v>
      </c>
      <c r="B3" s="78" t="s">
        <v>161</v>
      </c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</row>
    <row r="4" spans="1:13">
      <c r="A4" s="79"/>
      <c r="B4" s="78" t="s">
        <v>162</v>
      </c>
      <c r="C4" s="78"/>
      <c r="D4" s="78" t="s">
        <v>163</v>
      </c>
      <c r="E4" s="78"/>
      <c r="F4" s="78" t="s">
        <v>164</v>
      </c>
      <c r="G4" s="78"/>
      <c r="H4" s="78" t="s">
        <v>165</v>
      </c>
      <c r="I4" s="78"/>
      <c r="J4" s="78" t="s">
        <v>166</v>
      </c>
      <c r="K4" s="78"/>
      <c r="L4" s="78" t="s">
        <v>167</v>
      </c>
      <c r="M4" s="78"/>
    </row>
    <row r="5" spans="1:13">
      <c r="A5" s="79"/>
      <c r="B5" s="78" t="s">
        <v>168</v>
      </c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</row>
    <row r="6" spans="1:13">
      <c r="A6" s="79"/>
      <c r="B6" s="44">
        <v>2</v>
      </c>
      <c r="C6" s="44">
        <v>3</v>
      </c>
      <c r="D6" s="44">
        <v>2</v>
      </c>
      <c r="E6" s="44">
        <v>3</v>
      </c>
      <c r="F6" s="44">
        <v>2</v>
      </c>
      <c r="G6" s="44">
        <v>3</v>
      </c>
      <c r="H6" s="44">
        <v>2</v>
      </c>
      <c r="I6" s="44">
        <v>3</v>
      </c>
      <c r="J6" s="44">
        <v>2</v>
      </c>
      <c r="K6" s="44">
        <v>3</v>
      </c>
      <c r="L6" s="44">
        <v>2</v>
      </c>
      <c r="M6" s="44">
        <v>3</v>
      </c>
    </row>
    <row r="7" spans="1:13">
      <c r="A7" s="79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</row>
    <row r="8" spans="1:13" s="42" customFormat="1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  <c r="I8" s="20">
        <v>9</v>
      </c>
      <c r="J8" s="20">
        <v>10</v>
      </c>
      <c r="K8" s="20">
        <v>11</v>
      </c>
      <c r="L8" s="20">
        <v>12</v>
      </c>
      <c r="M8" s="20">
        <v>13</v>
      </c>
    </row>
    <row r="9" spans="1:13">
      <c r="A9" s="78" t="s">
        <v>129</v>
      </c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</row>
    <row r="10" spans="1:13">
      <c r="A10" s="43">
        <v>0.5</v>
      </c>
      <c r="B10" s="43">
        <v>7</v>
      </c>
      <c r="C10" s="43">
        <v>7</v>
      </c>
      <c r="D10" s="43">
        <v>7</v>
      </c>
      <c r="E10" s="43">
        <v>7</v>
      </c>
      <c r="F10" s="43">
        <v>9</v>
      </c>
      <c r="G10" s="43">
        <v>8</v>
      </c>
      <c r="H10" s="43">
        <v>9</v>
      </c>
      <c r="I10" s="43">
        <v>8</v>
      </c>
      <c r="J10" s="43">
        <v>10</v>
      </c>
      <c r="K10" s="43">
        <v>9</v>
      </c>
      <c r="L10" s="43">
        <v>12</v>
      </c>
      <c r="M10" s="43">
        <v>10</v>
      </c>
    </row>
    <row r="11" spans="1:13">
      <c r="A11" s="43">
        <v>0.75</v>
      </c>
      <c r="B11" s="43">
        <v>9</v>
      </c>
      <c r="C11" s="43">
        <v>9</v>
      </c>
      <c r="D11" s="43">
        <v>9</v>
      </c>
      <c r="E11" s="43">
        <v>9</v>
      </c>
      <c r="F11" s="43">
        <v>11</v>
      </c>
      <c r="G11" s="43">
        <v>10</v>
      </c>
      <c r="H11" s="43">
        <v>11</v>
      </c>
      <c r="I11" s="43">
        <v>10</v>
      </c>
      <c r="J11" s="43">
        <v>13</v>
      </c>
      <c r="K11" s="43">
        <v>11</v>
      </c>
      <c r="L11" s="43">
        <v>15</v>
      </c>
      <c r="M11" s="43">
        <v>12</v>
      </c>
    </row>
    <row r="12" spans="1:13">
      <c r="A12" s="44">
        <v>1</v>
      </c>
      <c r="B12" s="44">
        <v>11</v>
      </c>
      <c r="C12" s="44">
        <v>10</v>
      </c>
      <c r="D12" s="44">
        <v>11</v>
      </c>
      <c r="E12" s="44">
        <v>10</v>
      </c>
      <c r="F12" s="44">
        <v>14</v>
      </c>
      <c r="G12" s="44">
        <v>12</v>
      </c>
      <c r="H12" s="44">
        <v>13</v>
      </c>
      <c r="I12" s="44">
        <v>12</v>
      </c>
      <c r="J12" s="44">
        <v>15</v>
      </c>
      <c r="K12" s="44">
        <v>14</v>
      </c>
      <c r="L12" s="44">
        <v>18</v>
      </c>
      <c r="M12" s="44">
        <v>15</v>
      </c>
    </row>
    <row r="13" spans="1:13">
      <c r="A13" s="43">
        <v>1.5</v>
      </c>
      <c r="B13" s="43">
        <v>14.5</v>
      </c>
      <c r="C13" s="43">
        <v>13.5</v>
      </c>
      <c r="D13" s="43">
        <v>14</v>
      </c>
      <c r="E13" s="43">
        <v>13</v>
      </c>
      <c r="F13" s="43">
        <v>17.5</v>
      </c>
      <c r="G13" s="43">
        <v>15.5</v>
      </c>
      <c r="H13" s="43">
        <v>16.5</v>
      </c>
      <c r="I13" s="43">
        <v>15</v>
      </c>
      <c r="J13" s="43">
        <v>19.5</v>
      </c>
      <c r="K13" s="43">
        <v>17.5</v>
      </c>
      <c r="L13" s="43">
        <v>22</v>
      </c>
      <c r="M13" s="43">
        <v>18</v>
      </c>
    </row>
    <row r="14" spans="1:13">
      <c r="A14" s="43">
        <v>2.5</v>
      </c>
      <c r="B14" s="43">
        <v>19.5</v>
      </c>
      <c r="C14" s="43">
        <v>18</v>
      </c>
      <c r="D14" s="43">
        <v>18.5</v>
      </c>
      <c r="E14" s="43">
        <v>17.5</v>
      </c>
      <c r="F14" s="43">
        <v>24</v>
      </c>
      <c r="G14" s="43">
        <v>21</v>
      </c>
      <c r="H14" s="43">
        <v>23</v>
      </c>
      <c r="I14" s="43">
        <v>20</v>
      </c>
      <c r="J14" s="43">
        <v>27</v>
      </c>
      <c r="K14" s="43">
        <v>24</v>
      </c>
      <c r="L14" s="43">
        <v>29</v>
      </c>
      <c r="M14" s="43">
        <v>24</v>
      </c>
    </row>
    <row r="15" spans="1:13">
      <c r="A15" s="44">
        <v>4</v>
      </c>
      <c r="B15" s="44">
        <v>26</v>
      </c>
      <c r="C15" s="44">
        <v>24</v>
      </c>
      <c r="D15" s="44">
        <v>25</v>
      </c>
      <c r="E15" s="44">
        <v>23</v>
      </c>
      <c r="F15" s="44">
        <v>32</v>
      </c>
      <c r="G15" s="44">
        <v>28</v>
      </c>
      <c r="H15" s="44">
        <v>30</v>
      </c>
      <c r="I15" s="44">
        <v>27</v>
      </c>
      <c r="J15" s="44">
        <v>36</v>
      </c>
      <c r="K15" s="44">
        <v>32</v>
      </c>
      <c r="L15" s="44">
        <v>38</v>
      </c>
      <c r="M15" s="44">
        <v>31</v>
      </c>
    </row>
    <row r="16" spans="1:13">
      <c r="A16" s="44">
        <v>6</v>
      </c>
      <c r="B16" s="44">
        <v>34</v>
      </c>
      <c r="C16" s="44">
        <v>31</v>
      </c>
      <c r="D16" s="44">
        <v>32</v>
      </c>
      <c r="E16" s="44">
        <v>29</v>
      </c>
      <c r="F16" s="44">
        <v>41</v>
      </c>
      <c r="G16" s="44">
        <v>36</v>
      </c>
      <c r="H16" s="44">
        <v>38</v>
      </c>
      <c r="I16" s="44">
        <v>34</v>
      </c>
      <c r="J16" s="44">
        <v>46</v>
      </c>
      <c r="K16" s="44">
        <v>41</v>
      </c>
      <c r="L16" s="44">
        <v>47</v>
      </c>
      <c r="M16" s="44">
        <v>39</v>
      </c>
    </row>
    <row r="17" spans="1:13">
      <c r="A17" s="44">
        <v>10</v>
      </c>
      <c r="B17" s="43">
        <v>46</v>
      </c>
      <c r="C17" s="43">
        <v>42</v>
      </c>
      <c r="D17" s="43">
        <v>43</v>
      </c>
      <c r="E17" s="43">
        <v>39</v>
      </c>
      <c r="F17" s="43">
        <v>57</v>
      </c>
      <c r="G17" s="43">
        <v>50</v>
      </c>
      <c r="H17" s="43">
        <v>52</v>
      </c>
      <c r="I17" s="43">
        <v>46</v>
      </c>
      <c r="J17" s="43">
        <v>63</v>
      </c>
      <c r="K17" s="43">
        <v>57</v>
      </c>
      <c r="L17" s="43">
        <v>63</v>
      </c>
      <c r="M17" s="43">
        <v>52</v>
      </c>
    </row>
    <row r="18" spans="1:13">
      <c r="A18" s="44">
        <v>16</v>
      </c>
      <c r="B18" s="43">
        <v>61</v>
      </c>
      <c r="C18" s="43">
        <v>56</v>
      </c>
      <c r="D18" s="43">
        <v>57</v>
      </c>
      <c r="E18" s="43">
        <v>52</v>
      </c>
      <c r="F18" s="43">
        <v>76</v>
      </c>
      <c r="G18" s="43">
        <v>68</v>
      </c>
      <c r="H18" s="43">
        <v>69</v>
      </c>
      <c r="I18" s="43">
        <v>62</v>
      </c>
      <c r="J18" s="43">
        <v>85</v>
      </c>
      <c r="K18" s="43">
        <v>76</v>
      </c>
      <c r="L18" s="43">
        <v>81</v>
      </c>
      <c r="M18" s="43">
        <v>67</v>
      </c>
    </row>
    <row r="19" spans="1:13">
      <c r="A19" s="43">
        <v>25</v>
      </c>
      <c r="B19" s="43">
        <v>80</v>
      </c>
      <c r="C19" s="43">
        <v>73</v>
      </c>
      <c r="D19" s="43">
        <v>75</v>
      </c>
      <c r="E19" s="43">
        <v>68</v>
      </c>
      <c r="F19" s="43">
        <v>101</v>
      </c>
      <c r="G19" s="43">
        <v>89</v>
      </c>
      <c r="H19" s="43">
        <v>90</v>
      </c>
      <c r="I19" s="43">
        <v>80</v>
      </c>
      <c r="J19" s="43">
        <v>112</v>
      </c>
      <c r="K19" s="43">
        <v>96</v>
      </c>
      <c r="L19" s="43">
        <v>104</v>
      </c>
      <c r="M19" s="43">
        <v>86</v>
      </c>
    </row>
    <row r="20" spans="1:13">
      <c r="A20" s="43">
        <v>35</v>
      </c>
      <c r="B20" s="43">
        <v>99</v>
      </c>
      <c r="C20" s="43">
        <v>89</v>
      </c>
      <c r="D20" s="43">
        <v>92</v>
      </c>
      <c r="E20" s="43">
        <v>83</v>
      </c>
      <c r="F20" s="43">
        <v>125</v>
      </c>
      <c r="G20" s="43">
        <v>110</v>
      </c>
      <c r="H20" s="43">
        <v>111</v>
      </c>
      <c r="I20" s="43">
        <v>99</v>
      </c>
      <c r="J20" s="43">
        <v>138</v>
      </c>
      <c r="K20" s="43">
        <v>119</v>
      </c>
      <c r="L20" s="43">
        <v>125</v>
      </c>
      <c r="M20" s="43">
        <v>103</v>
      </c>
    </row>
    <row r="21" spans="1:13">
      <c r="A21" s="43">
        <v>50</v>
      </c>
      <c r="B21" s="43">
        <v>119</v>
      </c>
      <c r="C21" s="43">
        <v>108</v>
      </c>
      <c r="D21" s="43">
        <v>110</v>
      </c>
      <c r="E21" s="43">
        <v>99</v>
      </c>
      <c r="F21" s="43">
        <v>151</v>
      </c>
      <c r="G21" s="43">
        <v>134</v>
      </c>
      <c r="H21" s="43">
        <v>133</v>
      </c>
      <c r="I21" s="43">
        <v>118</v>
      </c>
      <c r="J21" s="43">
        <v>168</v>
      </c>
      <c r="K21" s="43">
        <v>144</v>
      </c>
      <c r="L21" s="43">
        <v>148</v>
      </c>
      <c r="M21" s="43">
        <v>122</v>
      </c>
    </row>
    <row r="22" spans="1:13">
      <c r="A22" s="43">
        <v>70</v>
      </c>
      <c r="B22" s="43">
        <v>151</v>
      </c>
      <c r="C22" s="43">
        <v>136</v>
      </c>
      <c r="D22" s="43">
        <v>139</v>
      </c>
      <c r="E22" s="43">
        <v>125</v>
      </c>
      <c r="F22" s="43">
        <v>192</v>
      </c>
      <c r="G22" s="43">
        <v>171</v>
      </c>
      <c r="H22" s="43">
        <v>168</v>
      </c>
      <c r="I22" s="43">
        <v>149</v>
      </c>
      <c r="J22" s="43">
        <v>213</v>
      </c>
      <c r="K22" s="43">
        <v>184</v>
      </c>
      <c r="L22" s="43">
        <v>183</v>
      </c>
      <c r="M22" s="43">
        <v>151</v>
      </c>
    </row>
    <row r="23" spans="1:13">
      <c r="A23" s="43">
        <v>95</v>
      </c>
      <c r="B23" s="43">
        <v>182</v>
      </c>
      <c r="C23" s="43">
        <v>164</v>
      </c>
      <c r="D23" s="43">
        <v>167</v>
      </c>
      <c r="E23" s="43">
        <v>150</v>
      </c>
      <c r="F23" s="43">
        <v>232</v>
      </c>
      <c r="G23" s="43">
        <v>207</v>
      </c>
      <c r="H23" s="43">
        <v>201</v>
      </c>
      <c r="I23" s="43">
        <v>179</v>
      </c>
      <c r="J23" s="43">
        <v>258</v>
      </c>
      <c r="K23" s="43">
        <v>223</v>
      </c>
      <c r="L23" s="43">
        <v>216</v>
      </c>
      <c r="M23" s="43">
        <v>179</v>
      </c>
    </row>
    <row r="24" spans="1:13">
      <c r="A24" s="43">
        <v>120</v>
      </c>
      <c r="B24" s="43">
        <v>210</v>
      </c>
      <c r="C24" s="43">
        <v>188</v>
      </c>
      <c r="D24" s="43">
        <v>192</v>
      </c>
      <c r="E24" s="43">
        <v>172</v>
      </c>
      <c r="F24" s="43">
        <v>269</v>
      </c>
      <c r="G24" s="43">
        <v>239</v>
      </c>
      <c r="H24" s="43">
        <v>232</v>
      </c>
      <c r="I24" s="43">
        <v>206</v>
      </c>
      <c r="J24" s="43">
        <v>299</v>
      </c>
      <c r="K24" s="43">
        <v>259</v>
      </c>
      <c r="L24" s="43">
        <v>246</v>
      </c>
      <c r="M24" s="43">
        <v>203</v>
      </c>
    </row>
    <row r="25" spans="1:13">
      <c r="A25" s="43">
        <v>150</v>
      </c>
      <c r="B25" s="43">
        <v>240</v>
      </c>
      <c r="C25" s="43">
        <v>216</v>
      </c>
      <c r="D25" s="43">
        <v>219</v>
      </c>
      <c r="E25" s="43">
        <v>196</v>
      </c>
      <c r="F25" s="43">
        <v>309</v>
      </c>
      <c r="G25" s="43">
        <v>275</v>
      </c>
      <c r="H25" s="43">
        <v>265</v>
      </c>
      <c r="I25" s="43">
        <v>236</v>
      </c>
      <c r="J25" s="43">
        <v>344</v>
      </c>
      <c r="K25" s="43">
        <v>299</v>
      </c>
      <c r="L25" s="43">
        <v>278</v>
      </c>
      <c r="M25" s="43">
        <v>230</v>
      </c>
    </row>
    <row r="26" spans="1:13">
      <c r="A26" s="43">
        <v>185</v>
      </c>
      <c r="B26" s="43">
        <v>273</v>
      </c>
      <c r="C26" s="43">
        <v>245</v>
      </c>
      <c r="D26" s="43">
        <v>248</v>
      </c>
      <c r="E26" s="43">
        <v>223</v>
      </c>
      <c r="F26" s="43">
        <v>353</v>
      </c>
      <c r="G26" s="43">
        <v>314</v>
      </c>
      <c r="H26" s="43">
        <v>300</v>
      </c>
      <c r="I26" s="43">
        <v>268</v>
      </c>
      <c r="J26" s="43">
        <v>392</v>
      </c>
      <c r="K26" s="43">
        <v>341</v>
      </c>
      <c r="L26" s="43">
        <v>312</v>
      </c>
      <c r="M26" s="43">
        <v>258</v>
      </c>
    </row>
    <row r="27" spans="1:13">
      <c r="A27" s="43">
        <v>240</v>
      </c>
      <c r="B27" s="43">
        <v>321</v>
      </c>
      <c r="C27" s="43">
        <v>286</v>
      </c>
      <c r="D27" s="43">
        <v>291</v>
      </c>
      <c r="E27" s="43">
        <v>261</v>
      </c>
      <c r="F27" s="43">
        <v>415</v>
      </c>
      <c r="G27" s="43">
        <v>370</v>
      </c>
      <c r="H27" s="43">
        <v>351</v>
      </c>
      <c r="I27" s="43">
        <v>313</v>
      </c>
      <c r="J27" s="43">
        <v>461</v>
      </c>
      <c r="K27" s="43">
        <v>403</v>
      </c>
      <c r="L27" s="43">
        <v>361</v>
      </c>
      <c r="M27" s="43">
        <v>297</v>
      </c>
    </row>
    <row r="28" spans="1:13">
      <c r="A28" s="43">
        <v>300</v>
      </c>
      <c r="B28" s="43">
        <v>367</v>
      </c>
      <c r="C28" s="43">
        <v>328</v>
      </c>
      <c r="D28" s="43">
        <v>334</v>
      </c>
      <c r="E28" s="43">
        <v>298</v>
      </c>
      <c r="F28" s="43">
        <v>477</v>
      </c>
      <c r="G28" s="43">
        <v>426</v>
      </c>
      <c r="H28" s="43">
        <v>401</v>
      </c>
      <c r="I28" s="43">
        <v>358</v>
      </c>
      <c r="J28" s="43">
        <v>530</v>
      </c>
      <c r="K28" s="43">
        <v>464</v>
      </c>
      <c r="L28" s="43">
        <v>408</v>
      </c>
      <c r="M28" s="43">
        <v>336</v>
      </c>
    </row>
    <row r="29" spans="1:13">
      <c r="A29" s="43">
        <v>400</v>
      </c>
      <c r="B29" s="43">
        <v>438</v>
      </c>
      <c r="C29" s="43">
        <v>390</v>
      </c>
      <c r="D29" s="43">
        <v>398</v>
      </c>
      <c r="E29" s="43">
        <v>355</v>
      </c>
      <c r="F29" s="43">
        <v>571</v>
      </c>
      <c r="G29" s="43">
        <v>510</v>
      </c>
      <c r="H29" s="43">
        <v>477</v>
      </c>
      <c r="I29" s="43">
        <v>425</v>
      </c>
      <c r="J29" s="43">
        <v>634</v>
      </c>
      <c r="K29" s="43">
        <v>557</v>
      </c>
      <c r="L29" s="43">
        <v>478</v>
      </c>
      <c r="M29" s="43">
        <v>394</v>
      </c>
    </row>
    <row r="30" spans="1:13">
      <c r="A30" s="43">
        <v>500</v>
      </c>
      <c r="B30" s="43">
        <v>502</v>
      </c>
      <c r="C30" s="43">
        <v>447</v>
      </c>
      <c r="D30" s="43">
        <v>456</v>
      </c>
      <c r="E30" s="43">
        <v>406</v>
      </c>
      <c r="F30" s="43">
        <v>656</v>
      </c>
      <c r="G30" s="43">
        <v>587</v>
      </c>
      <c r="H30" s="43">
        <v>545</v>
      </c>
      <c r="I30" s="43">
        <v>486</v>
      </c>
      <c r="J30" s="43">
        <v>729</v>
      </c>
      <c r="K30" s="43">
        <v>642</v>
      </c>
      <c r="L30" s="43">
        <v>540</v>
      </c>
      <c r="M30" s="43">
        <v>445</v>
      </c>
    </row>
    <row r="31" spans="1:13">
      <c r="A31" s="43">
        <v>630</v>
      </c>
      <c r="B31" s="43">
        <v>578</v>
      </c>
      <c r="C31" s="43">
        <v>514</v>
      </c>
      <c r="D31" s="43">
        <v>526</v>
      </c>
      <c r="E31" s="43">
        <v>467</v>
      </c>
      <c r="F31" s="43">
        <v>758</v>
      </c>
      <c r="G31" s="43">
        <v>678</v>
      </c>
      <c r="H31" s="43">
        <v>626</v>
      </c>
      <c r="I31" s="43">
        <v>559</v>
      </c>
      <c r="J31" s="43">
        <v>843</v>
      </c>
      <c r="K31" s="43">
        <v>743</v>
      </c>
      <c r="L31" s="43">
        <v>614</v>
      </c>
      <c r="M31" s="43">
        <v>506</v>
      </c>
    </row>
    <row r="32" spans="1:13">
      <c r="A32" s="43">
        <v>800</v>
      </c>
      <c r="B32" s="43">
        <v>669</v>
      </c>
      <c r="C32" s="43">
        <v>593</v>
      </c>
      <c r="D32" s="43">
        <v>609</v>
      </c>
      <c r="E32" s="43">
        <v>540</v>
      </c>
      <c r="F32" s="43">
        <v>881</v>
      </c>
      <c r="G32" s="43">
        <v>788</v>
      </c>
      <c r="H32" s="43">
        <v>723</v>
      </c>
      <c r="I32" s="43">
        <v>645</v>
      </c>
      <c r="J32" s="43">
        <v>978</v>
      </c>
      <c r="K32" s="43">
        <v>865</v>
      </c>
      <c r="L32" s="43">
        <v>700</v>
      </c>
      <c r="M32" s="43">
        <v>577</v>
      </c>
    </row>
    <row r="33" spans="1:13">
      <c r="A33" s="43">
        <v>1000</v>
      </c>
      <c r="B33" s="43">
        <v>767</v>
      </c>
      <c r="C33" s="43">
        <v>679</v>
      </c>
      <c r="D33" s="43">
        <v>698</v>
      </c>
      <c r="E33" s="43">
        <v>618</v>
      </c>
      <c r="F33" s="43">
        <v>1012</v>
      </c>
      <c r="G33" s="43">
        <v>906</v>
      </c>
      <c r="H33" s="43">
        <v>827</v>
      </c>
      <c r="I33" s="43">
        <v>738</v>
      </c>
      <c r="J33" s="43">
        <v>1125</v>
      </c>
      <c r="K33" s="43">
        <v>996</v>
      </c>
      <c r="L33" s="43">
        <v>792</v>
      </c>
      <c r="M33" s="43">
        <v>652</v>
      </c>
    </row>
    <row r="34" spans="1:1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</row>
    <row r="35" spans="1:13">
      <c r="A35" s="78" t="s">
        <v>130</v>
      </c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</row>
    <row r="36" spans="1:13">
      <c r="A36" s="44">
        <v>16</v>
      </c>
      <c r="B36" s="44">
        <v>48</v>
      </c>
      <c r="C36" s="44">
        <v>43</v>
      </c>
      <c r="D36" s="44">
        <v>44</v>
      </c>
      <c r="E36" s="44">
        <v>41</v>
      </c>
      <c r="F36" s="44">
        <v>60</v>
      </c>
      <c r="G36" s="44">
        <v>53</v>
      </c>
      <c r="H36" s="44">
        <v>54</v>
      </c>
      <c r="I36" s="44">
        <v>48</v>
      </c>
      <c r="J36" s="44">
        <v>66</v>
      </c>
      <c r="K36" s="44">
        <v>59</v>
      </c>
      <c r="L36" s="44">
        <v>62</v>
      </c>
      <c r="M36" s="44">
        <v>52</v>
      </c>
    </row>
    <row r="37" spans="1:13">
      <c r="A37" s="44">
        <v>25</v>
      </c>
      <c r="B37" s="44">
        <v>63</v>
      </c>
      <c r="C37" s="44">
        <v>57</v>
      </c>
      <c r="D37" s="44">
        <v>58</v>
      </c>
      <c r="E37" s="44">
        <v>53</v>
      </c>
      <c r="F37" s="44">
        <v>79</v>
      </c>
      <c r="G37" s="44">
        <v>70</v>
      </c>
      <c r="H37" s="44">
        <v>71</v>
      </c>
      <c r="I37" s="44">
        <v>62</v>
      </c>
      <c r="J37" s="44">
        <v>83</v>
      </c>
      <c r="K37" s="44">
        <v>73</v>
      </c>
      <c r="L37" s="44">
        <v>80</v>
      </c>
      <c r="M37" s="44">
        <v>66</v>
      </c>
    </row>
    <row r="38" spans="1:13">
      <c r="A38" s="44">
        <v>35</v>
      </c>
      <c r="B38" s="44">
        <v>77</v>
      </c>
      <c r="C38" s="44">
        <v>70</v>
      </c>
      <c r="D38" s="44">
        <v>71</v>
      </c>
      <c r="E38" s="44">
        <v>65</v>
      </c>
      <c r="F38" s="44">
        <v>97</v>
      </c>
      <c r="G38" s="44">
        <v>86</v>
      </c>
      <c r="H38" s="44">
        <v>86</v>
      </c>
      <c r="I38" s="44">
        <v>77</v>
      </c>
      <c r="J38" s="44">
        <v>103</v>
      </c>
      <c r="K38" s="44">
        <v>90</v>
      </c>
      <c r="L38" s="44">
        <v>96</v>
      </c>
      <c r="M38" s="44">
        <v>80</v>
      </c>
    </row>
    <row r="39" spans="1:13">
      <c r="A39" s="44">
        <v>50</v>
      </c>
      <c r="B39" s="44">
        <v>93</v>
      </c>
      <c r="C39" s="44">
        <v>84</v>
      </c>
      <c r="D39" s="44">
        <v>86</v>
      </c>
      <c r="E39" s="44">
        <v>78</v>
      </c>
      <c r="F39" s="44">
        <v>118</v>
      </c>
      <c r="G39" s="44">
        <v>104</v>
      </c>
      <c r="H39" s="44">
        <v>104</v>
      </c>
      <c r="I39" s="44">
        <v>92</v>
      </c>
      <c r="J39" s="44">
        <v>125</v>
      </c>
      <c r="K39" s="44">
        <v>110</v>
      </c>
      <c r="L39" s="44">
        <v>113</v>
      </c>
      <c r="M39" s="40">
        <v>94</v>
      </c>
    </row>
    <row r="40" spans="1:13">
      <c r="A40" s="44">
        <v>70</v>
      </c>
      <c r="B40" s="44">
        <v>118</v>
      </c>
      <c r="C40" s="44">
        <v>107</v>
      </c>
      <c r="D40" s="44">
        <v>108</v>
      </c>
      <c r="E40" s="44">
        <v>98</v>
      </c>
      <c r="F40" s="44">
        <v>150</v>
      </c>
      <c r="G40" s="44">
        <v>133</v>
      </c>
      <c r="H40" s="44">
        <v>131</v>
      </c>
      <c r="I40" s="44">
        <v>116</v>
      </c>
      <c r="J40" s="44">
        <v>160</v>
      </c>
      <c r="K40" s="44">
        <v>140</v>
      </c>
      <c r="L40" s="44">
        <v>140</v>
      </c>
      <c r="M40" s="44">
        <v>117</v>
      </c>
    </row>
    <row r="41" spans="1:13">
      <c r="A41" s="44">
        <v>95</v>
      </c>
      <c r="B41" s="44">
        <v>142</v>
      </c>
      <c r="C41" s="44">
        <v>129</v>
      </c>
      <c r="D41" s="44">
        <v>130</v>
      </c>
      <c r="E41" s="44">
        <v>118</v>
      </c>
      <c r="F41" s="44">
        <v>181</v>
      </c>
      <c r="G41" s="44">
        <v>161</v>
      </c>
      <c r="H41" s="44">
        <v>157</v>
      </c>
      <c r="I41" s="44">
        <v>139</v>
      </c>
      <c r="J41" s="44">
        <v>195</v>
      </c>
      <c r="K41" s="44">
        <v>170</v>
      </c>
      <c r="L41" s="44">
        <v>166</v>
      </c>
      <c r="M41" s="44">
        <v>138</v>
      </c>
    </row>
    <row r="42" spans="1:13">
      <c r="A42" s="44">
        <v>120</v>
      </c>
      <c r="B42" s="44">
        <v>164</v>
      </c>
      <c r="C42" s="44">
        <v>149</v>
      </c>
      <c r="D42" s="44">
        <v>150</v>
      </c>
      <c r="E42" s="44">
        <v>135</v>
      </c>
      <c r="F42" s="44">
        <v>210</v>
      </c>
      <c r="G42" s="44">
        <v>186</v>
      </c>
      <c r="H42" s="44">
        <v>181</v>
      </c>
      <c r="I42" s="44">
        <v>160</v>
      </c>
      <c r="J42" s="44">
        <v>226</v>
      </c>
      <c r="K42" s="44">
        <v>197</v>
      </c>
      <c r="L42" s="44">
        <v>189</v>
      </c>
      <c r="M42" s="44">
        <v>157</v>
      </c>
    </row>
    <row r="43" spans="1:13">
      <c r="A43" s="44">
        <v>150</v>
      </c>
      <c r="B43" s="44">
        <v>189</v>
      </c>
      <c r="C43" s="44">
        <v>170</v>
      </c>
      <c r="D43" s="44">
        <v>172</v>
      </c>
      <c r="E43" s="44">
        <v>155</v>
      </c>
      <c r="F43" s="44">
        <v>241</v>
      </c>
      <c r="G43" s="44">
        <v>214</v>
      </c>
      <c r="H43" s="44">
        <v>106</v>
      </c>
      <c r="I43" s="44">
        <v>183</v>
      </c>
      <c r="J43" s="44">
        <v>261</v>
      </c>
      <c r="K43" s="44">
        <v>227</v>
      </c>
      <c r="L43" s="44">
        <v>213</v>
      </c>
      <c r="M43" s="44">
        <v>178</v>
      </c>
    </row>
    <row r="44" spans="1:13">
      <c r="A44" s="44">
        <v>185</v>
      </c>
      <c r="B44" s="44">
        <v>215</v>
      </c>
      <c r="C44" s="44">
        <v>194</v>
      </c>
      <c r="D44" s="44">
        <v>195</v>
      </c>
      <c r="E44" s="44">
        <v>176</v>
      </c>
      <c r="F44" s="44">
        <v>275</v>
      </c>
      <c r="G44" s="44">
        <v>245</v>
      </c>
      <c r="H44" s="44">
        <v>234</v>
      </c>
      <c r="I44" s="44">
        <v>208</v>
      </c>
      <c r="J44" s="44">
        <v>298</v>
      </c>
      <c r="K44" s="44">
        <v>259</v>
      </c>
      <c r="L44" s="44">
        <v>240</v>
      </c>
      <c r="M44" s="44">
        <v>200</v>
      </c>
    </row>
    <row r="45" spans="1:13">
      <c r="A45" s="44">
        <v>240</v>
      </c>
      <c r="B45" s="44">
        <v>252</v>
      </c>
      <c r="C45" s="44">
        <v>227</v>
      </c>
      <c r="D45" s="44">
        <v>229</v>
      </c>
      <c r="E45" s="44">
        <v>207</v>
      </c>
      <c r="F45" s="44">
        <v>324</v>
      </c>
      <c r="G45" s="44">
        <v>288</v>
      </c>
      <c r="H45" s="44">
        <v>274</v>
      </c>
      <c r="I45" s="44">
        <v>243</v>
      </c>
      <c r="J45" s="44">
        <v>352</v>
      </c>
      <c r="K45" s="44">
        <v>305</v>
      </c>
      <c r="L45" s="44">
        <v>277</v>
      </c>
      <c r="M45" s="44">
        <v>230</v>
      </c>
    </row>
    <row r="46" spans="1:13">
      <c r="A46" s="44">
        <v>300</v>
      </c>
      <c r="B46" s="44">
        <v>289</v>
      </c>
      <c r="C46" s="44">
        <v>261</v>
      </c>
      <c r="D46" s="44">
        <v>263</v>
      </c>
      <c r="E46" s="44">
        <v>237</v>
      </c>
      <c r="F46" s="44">
        <v>372</v>
      </c>
      <c r="G46" s="44">
        <v>331</v>
      </c>
      <c r="H46" s="44">
        <v>313</v>
      </c>
      <c r="I46" s="44">
        <v>278</v>
      </c>
      <c r="J46" s="44">
        <v>406</v>
      </c>
      <c r="K46" s="44">
        <v>351</v>
      </c>
      <c r="L46" s="44">
        <v>313</v>
      </c>
      <c r="M46" s="44">
        <v>260</v>
      </c>
    </row>
    <row r="47" spans="1:13">
      <c r="A47" s="44">
        <v>400</v>
      </c>
      <c r="B47" s="44">
        <v>345</v>
      </c>
      <c r="C47" s="44">
        <v>311</v>
      </c>
      <c r="D47" s="44">
        <v>314</v>
      </c>
      <c r="E47" s="44">
        <v>283</v>
      </c>
      <c r="F47" s="44">
        <v>446</v>
      </c>
      <c r="G47" s="44">
        <v>397</v>
      </c>
      <c r="H47" s="44">
        <v>372</v>
      </c>
      <c r="I47" s="44">
        <v>331</v>
      </c>
      <c r="J47" s="44">
        <v>488</v>
      </c>
      <c r="K47" s="44">
        <v>422</v>
      </c>
      <c r="L47" s="44">
        <v>366</v>
      </c>
      <c r="M47" s="44">
        <v>305</v>
      </c>
    </row>
    <row r="48" spans="1:13">
      <c r="A48" s="44">
        <v>500</v>
      </c>
      <c r="B48" s="44">
        <v>396</v>
      </c>
      <c r="C48" s="44">
        <v>356</v>
      </c>
      <c r="D48" s="44">
        <v>360</v>
      </c>
      <c r="E48" s="44">
        <v>324</v>
      </c>
      <c r="F48" s="44">
        <v>512</v>
      </c>
      <c r="G48" s="44">
        <v>456</v>
      </c>
      <c r="H48" s="44">
        <v>425</v>
      </c>
      <c r="I48" s="44">
        <v>378</v>
      </c>
      <c r="J48" s="44">
        <v>563</v>
      </c>
      <c r="K48" s="44">
        <v>486</v>
      </c>
      <c r="L48" s="44">
        <v>414</v>
      </c>
      <c r="M48" s="44">
        <v>345</v>
      </c>
    </row>
    <row r="49" spans="1:13">
      <c r="A49" s="44">
        <v>630</v>
      </c>
      <c r="B49" s="44">
        <v>456</v>
      </c>
      <c r="C49" s="44">
        <v>410</v>
      </c>
      <c r="D49" s="44">
        <v>416</v>
      </c>
      <c r="E49" s="44">
        <v>373</v>
      </c>
      <c r="F49" s="44">
        <v>592</v>
      </c>
      <c r="G49" s="44">
        <v>527</v>
      </c>
      <c r="H49" s="44">
        <v>488</v>
      </c>
      <c r="I49" s="44">
        <v>435</v>
      </c>
      <c r="J49" s="44">
        <v>653</v>
      </c>
      <c r="K49" s="44">
        <v>562</v>
      </c>
      <c r="L49" s="44">
        <v>471</v>
      </c>
      <c r="M49" s="44">
        <v>391</v>
      </c>
    </row>
    <row r="50" spans="1:13">
      <c r="A50" s="44">
        <v>800</v>
      </c>
      <c r="B50" s="44">
        <v>529</v>
      </c>
      <c r="C50" s="44">
        <v>475</v>
      </c>
      <c r="D50" s="44">
        <v>482</v>
      </c>
      <c r="E50" s="44">
        <v>432</v>
      </c>
      <c r="F50" s="44">
        <v>687</v>
      </c>
      <c r="G50" s="44">
        <v>612</v>
      </c>
      <c r="H50" s="44">
        <v>563</v>
      </c>
      <c r="I50" s="44">
        <v>502</v>
      </c>
      <c r="J50" s="44">
        <v>761</v>
      </c>
      <c r="K50" s="44">
        <v>654</v>
      </c>
      <c r="L50" s="44">
        <v>537</v>
      </c>
      <c r="M50" s="44">
        <v>446</v>
      </c>
    </row>
    <row r="51" spans="1:13">
      <c r="A51" s="44">
        <v>1000</v>
      </c>
      <c r="B51" s="44">
        <v>607</v>
      </c>
      <c r="C51" s="44">
        <v>544</v>
      </c>
      <c r="D51" s="44">
        <v>552</v>
      </c>
      <c r="E51" s="44">
        <v>495</v>
      </c>
      <c r="F51" s="44">
        <v>790</v>
      </c>
      <c r="G51" s="44">
        <v>704</v>
      </c>
      <c r="H51" s="44">
        <v>643</v>
      </c>
      <c r="I51" s="44">
        <v>574</v>
      </c>
      <c r="J51" s="44">
        <v>878</v>
      </c>
      <c r="K51" s="44">
        <v>753</v>
      </c>
      <c r="L51" s="44">
        <v>607</v>
      </c>
      <c r="M51" s="44">
        <v>505</v>
      </c>
    </row>
    <row r="52" spans="1:13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</row>
    <row r="53" spans="1:13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</row>
    <row r="54" spans="1:13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</row>
    <row r="55" spans="1:13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</row>
    <row r="56" spans="1:13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</row>
    <row r="57" spans="1:13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</row>
    <row r="58" spans="1:13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1:13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1:13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  <row r="61" spans="1:13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1:13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1:13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1:13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1:13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1:13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1:13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1:13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1:13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1:1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1:1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1:13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1:13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1:13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1:1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1:1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1:13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1:13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1:13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13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</row>
    <row r="82" spans="1:13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</row>
    <row r="83" spans="1:13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</row>
    <row r="84" spans="1:13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13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13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</row>
    <row r="87" spans="1:13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</row>
    <row r="88" spans="1:13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</row>
    <row r="89" spans="1:13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</row>
    <row r="90" spans="1:13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</row>
    <row r="91" spans="1:13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</row>
    <row r="92" spans="1:13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</row>
    <row r="93" spans="1:13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</row>
    <row r="94" spans="1:13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</row>
    <row r="95" spans="1:13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</row>
    <row r="96" spans="1:13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</row>
    <row r="97" spans="1:13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</row>
    <row r="98" spans="1:13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</row>
    <row r="99" spans="1:13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</row>
    <row r="100" spans="1:13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</row>
    <row r="101" spans="1:13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</row>
    <row r="102" spans="1:13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</row>
    <row r="103" spans="1:13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</row>
    <row r="104" spans="1:13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</row>
    <row r="105" spans="1:13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</row>
    <row r="106" spans="1:13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</row>
    <row r="107" spans="1:13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</row>
    <row r="108" spans="1:13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</row>
    <row r="109" spans="1:13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</row>
    <row r="110" spans="1:13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</row>
    <row r="111" spans="1:13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</row>
    <row r="112" spans="1:13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</row>
    <row r="113" spans="1:13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</row>
    <row r="114" spans="1:13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</row>
    <row r="115" spans="1:13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</row>
    <row r="116" spans="1:13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</row>
    <row r="117" spans="1:13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</row>
    <row r="118" spans="1:13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</row>
    <row r="119" spans="1:13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</row>
    <row r="120" spans="1:13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</row>
    <row r="121" spans="1:13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</row>
    <row r="122" spans="1:13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</row>
    <row r="123" spans="1:13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</row>
    <row r="124" spans="1:13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</row>
    <row r="125" spans="1:1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</row>
    <row r="126" spans="1:13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</row>
    <row r="127" spans="1:13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</row>
    <row r="128" spans="1:13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</row>
    <row r="129" spans="1:13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</row>
    <row r="130" spans="1:13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</row>
    <row r="131" spans="1:13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</row>
    <row r="132" spans="1:13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</row>
    <row r="133" spans="1:13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</row>
    <row r="134" spans="1:13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</row>
    <row r="135" spans="1:13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</row>
    <row r="136" spans="1:13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</row>
    <row r="137" spans="1:13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</row>
    <row r="138" spans="1:13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</row>
    <row r="139" spans="1:13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</row>
    <row r="140" spans="1:13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</row>
    <row r="141" spans="1:13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</row>
    <row r="142" spans="1:13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</row>
    <row r="143" spans="1:13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</row>
    <row r="144" spans="1:13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</row>
    <row r="145" spans="1:13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</row>
    <row r="146" spans="1:13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</row>
    <row r="147" spans="1:13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</row>
    <row r="148" spans="1:13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</row>
    <row r="149" spans="1:13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</row>
    <row r="150" spans="1:13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</row>
    <row r="151" spans="1:13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</row>
    <row r="152" spans="1:13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</row>
    <row r="153" spans="1:13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</row>
    <row r="154" spans="1:13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</row>
    <row r="155" spans="1:13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</row>
    <row r="156" spans="1:13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</row>
    <row r="157" spans="1:13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</row>
    <row r="158" spans="1:13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</row>
    <row r="159" spans="1:13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</row>
    <row r="160" spans="1:13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</row>
    <row r="161" spans="1:13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</row>
    <row r="162" spans="1:13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</row>
    <row r="163" spans="1:13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</row>
    <row r="164" spans="1:13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</row>
    <row r="165" spans="1:13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</row>
    <row r="166" spans="1:13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</row>
    <row r="167" spans="1:13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</row>
    <row r="168" spans="1:13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</row>
    <row r="169" spans="1:13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</row>
    <row r="170" spans="1:13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</row>
    <row r="171" spans="1:13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</row>
    <row r="172" spans="1:13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</row>
    <row r="173" spans="1:13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</row>
    <row r="174" spans="1:13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</row>
    <row r="175" spans="1:13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</row>
    <row r="176" spans="1:13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</row>
    <row r="177" spans="1:13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</row>
    <row r="178" spans="1:13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</row>
  </sheetData>
  <mergeCells count="12">
    <mergeCell ref="A9:M9"/>
    <mergeCell ref="A35:M35"/>
    <mergeCell ref="A3:A7"/>
    <mergeCell ref="B3:M3"/>
    <mergeCell ref="B4:C4"/>
    <mergeCell ref="D4:E4"/>
    <mergeCell ref="F4:G4"/>
    <mergeCell ref="H4:I4"/>
    <mergeCell ref="J4:K4"/>
    <mergeCell ref="L4:M4"/>
    <mergeCell ref="B5:M5"/>
    <mergeCell ref="B7:M7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6"/>
  <dimension ref="A3:M178"/>
  <sheetViews>
    <sheetView topLeftCell="A26" workbookViewId="0">
      <selection activeCell="A34" sqref="A34:XFD34"/>
    </sheetView>
  </sheetViews>
  <sheetFormatPr defaultRowHeight="15"/>
  <cols>
    <col min="1" max="1" width="11" style="39" customWidth="1"/>
    <col min="2" max="16384" width="9.140625" style="39"/>
  </cols>
  <sheetData>
    <row r="3" spans="1:13">
      <c r="A3" s="79" t="s">
        <v>160</v>
      </c>
      <c r="B3" s="78" t="s">
        <v>161</v>
      </c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</row>
    <row r="4" spans="1:13">
      <c r="A4" s="79"/>
      <c r="B4" s="78" t="s">
        <v>162</v>
      </c>
      <c r="C4" s="78"/>
      <c r="D4" s="78" t="s">
        <v>163</v>
      </c>
      <c r="E4" s="78"/>
      <c r="F4" s="78" t="s">
        <v>164</v>
      </c>
      <c r="G4" s="78"/>
      <c r="H4" s="78" t="s">
        <v>165</v>
      </c>
      <c r="I4" s="78"/>
      <c r="J4" s="78" t="s">
        <v>166</v>
      </c>
      <c r="K4" s="78"/>
      <c r="L4" s="78" t="s">
        <v>167</v>
      </c>
      <c r="M4" s="78"/>
    </row>
    <row r="5" spans="1:13">
      <c r="A5" s="79"/>
      <c r="B5" s="78" t="s">
        <v>168</v>
      </c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</row>
    <row r="6" spans="1:13">
      <c r="A6" s="79"/>
      <c r="B6" s="44">
        <v>2</v>
      </c>
      <c r="C6" s="44">
        <v>3</v>
      </c>
      <c r="D6" s="44">
        <v>2</v>
      </c>
      <c r="E6" s="44">
        <v>3</v>
      </c>
      <c r="F6" s="44">
        <v>2</v>
      </c>
      <c r="G6" s="44">
        <v>3</v>
      </c>
      <c r="H6" s="44">
        <v>2</v>
      </c>
      <c r="I6" s="44">
        <v>3</v>
      </c>
      <c r="J6" s="44">
        <v>2</v>
      </c>
      <c r="K6" s="44">
        <v>3</v>
      </c>
      <c r="L6" s="44">
        <v>2</v>
      </c>
      <c r="M6" s="44">
        <v>3</v>
      </c>
    </row>
    <row r="7" spans="1:13">
      <c r="A7" s="79"/>
      <c r="B7" s="78"/>
      <c r="C7" s="78"/>
      <c r="D7" s="78"/>
      <c r="E7" s="78"/>
      <c r="F7" s="78"/>
      <c r="G7" s="78"/>
      <c r="H7" s="78"/>
      <c r="I7" s="78"/>
      <c r="J7" s="78"/>
      <c r="K7" s="78"/>
      <c r="L7" s="78"/>
      <c r="M7" s="78"/>
    </row>
    <row r="8" spans="1:13" s="42" customFormat="1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  <c r="I8" s="20">
        <v>9</v>
      </c>
      <c r="J8" s="20">
        <v>10</v>
      </c>
      <c r="K8" s="20">
        <v>11</v>
      </c>
      <c r="L8" s="20">
        <v>12</v>
      </c>
      <c r="M8" s="20">
        <v>13</v>
      </c>
    </row>
    <row r="9" spans="1:13">
      <c r="A9" s="78" t="s">
        <v>129</v>
      </c>
      <c r="B9" s="78"/>
      <c r="C9" s="78"/>
      <c r="D9" s="78"/>
      <c r="E9" s="78"/>
      <c r="F9" s="78"/>
      <c r="G9" s="78"/>
      <c r="H9" s="78"/>
      <c r="I9" s="78"/>
      <c r="J9" s="78"/>
      <c r="K9" s="78"/>
      <c r="L9" s="78"/>
      <c r="M9" s="78"/>
    </row>
    <row r="10" spans="1:13">
      <c r="A10" s="43">
        <v>0.5</v>
      </c>
      <c r="B10" s="43">
        <v>10</v>
      </c>
      <c r="C10" s="43">
        <v>9</v>
      </c>
      <c r="D10" s="43">
        <v>10</v>
      </c>
      <c r="E10" s="43">
        <v>9</v>
      </c>
      <c r="F10" s="43">
        <v>12</v>
      </c>
      <c r="G10" s="43">
        <v>10</v>
      </c>
      <c r="H10" s="43">
        <v>11</v>
      </c>
      <c r="I10" s="43">
        <v>10</v>
      </c>
      <c r="J10" s="43">
        <v>12</v>
      </c>
      <c r="K10" s="43">
        <v>11</v>
      </c>
      <c r="L10" s="43">
        <v>14</v>
      </c>
      <c r="M10" s="43">
        <v>12</v>
      </c>
    </row>
    <row r="11" spans="1:13">
      <c r="A11" s="43">
        <v>0.75</v>
      </c>
      <c r="B11" s="43">
        <v>12</v>
      </c>
      <c r="C11" s="43">
        <v>11</v>
      </c>
      <c r="D11" s="43">
        <v>12</v>
      </c>
      <c r="E11" s="43">
        <v>11</v>
      </c>
      <c r="F11" s="43">
        <v>15</v>
      </c>
      <c r="G11" s="43">
        <v>13</v>
      </c>
      <c r="H11" s="43">
        <v>15</v>
      </c>
      <c r="I11" s="43">
        <v>13</v>
      </c>
      <c r="J11" s="43">
        <v>16</v>
      </c>
      <c r="K11" s="43">
        <v>14</v>
      </c>
      <c r="L11" s="43">
        <v>18</v>
      </c>
      <c r="M11" s="43">
        <v>15</v>
      </c>
    </row>
    <row r="12" spans="1:13">
      <c r="A12" s="44">
        <v>1</v>
      </c>
      <c r="B12" s="44">
        <v>15</v>
      </c>
      <c r="C12" s="44">
        <v>13</v>
      </c>
      <c r="D12" s="44">
        <v>14</v>
      </c>
      <c r="E12" s="44">
        <v>13</v>
      </c>
      <c r="F12" s="44">
        <v>18</v>
      </c>
      <c r="G12" s="44">
        <v>16</v>
      </c>
      <c r="H12" s="44">
        <v>17</v>
      </c>
      <c r="I12" s="44">
        <v>15</v>
      </c>
      <c r="J12" s="44">
        <v>19</v>
      </c>
      <c r="K12" s="44">
        <v>17</v>
      </c>
      <c r="L12" s="44">
        <v>21</v>
      </c>
      <c r="M12" s="44">
        <v>17</v>
      </c>
    </row>
    <row r="13" spans="1:13">
      <c r="A13" s="43">
        <v>1.5</v>
      </c>
      <c r="B13" s="43">
        <v>19</v>
      </c>
      <c r="C13" s="43">
        <v>17</v>
      </c>
      <c r="D13" s="43">
        <v>18.5</v>
      </c>
      <c r="E13" s="43">
        <v>16.5</v>
      </c>
      <c r="F13" s="43">
        <v>23</v>
      </c>
      <c r="G13" s="43">
        <v>20</v>
      </c>
      <c r="H13" s="43">
        <v>22</v>
      </c>
      <c r="I13" s="43">
        <v>19.5</v>
      </c>
      <c r="J13" s="43">
        <v>24</v>
      </c>
      <c r="K13" s="43">
        <v>22</v>
      </c>
      <c r="L13" s="43">
        <v>26</v>
      </c>
      <c r="M13" s="43">
        <v>22</v>
      </c>
    </row>
    <row r="14" spans="1:13">
      <c r="A14" s="43">
        <v>2.5</v>
      </c>
      <c r="B14" s="43">
        <v>26</v>
      </c>
      <c r="C14" s="43">
        <v>23</v>
      </c>
      <c r="D14" s="43">
        <v>25</v>
      </c>
      <c r="E14" s="43">
        <v>22</v>
      </c>
      <c r="F14" s="43">
        <v>31</v>
      </c>
      <c r="G14" s="43">
        <v>28</v>
      </c>
      <c r="H14" s="43">
        <v>30</v>
      </c>
      <c r="I14" s="43">
        <v>26</v>
      </c>
      <c r="J14" s="43">
        <v>33</v>
      </c>
      <c r="K14" s="43">
        <v>30</v>
      </c>
      <c r="L14" s="43">
        <v>34</v>
      </c>
      <c r="M14" s="43">
        <v>29</v>
      </c>
    </row>
    <row r="15" spans="1:13">
      <c r="A15" s="44">
        <v>4</v>
      </c>
      <c r="B15" s="44">
        <v>35</v>
      </c>
      <c r="C15" s="44">
        <v>31</v>
      </c>
      <c r="D15" s="44">
        <v>33</v>
      </c>
      <c r="E15" s="44">
        <v>30</v>
      </c>
      <c r="F15" s="44">
        <v>42</v>
      </c>
      <c r="G15" s="44">
        <v>37</v>
      </c>
      <c r="H15" s="44">
        <v>40</v>
      </c>
      <c r="I15" s="44">
        <v>35</v>
      </c>
      <c r="J15" s="44">
        <v>45</v>
      </c>
      <c r="K15" s="44">
        <v>40</v>
      </c>
      <c r="L15" s="44">
        <v>44</v>
      </c>
      <c r="M15" s="44">
        <v>37</v>
      </c>
    </row>
    <row r="16" spans="1:13">
      <c r="A16" s="44">
        <v>6</v>
      </c>
      <c r="B16" s="44">
        <v>45</v>
      </c>
      <c r="C16" s="44">
        <v>40</v>
      </c>
      <c r="D16" s="44">
        <v>42</v>
      </c>
      <c r="E16" s="44">
        <v>38</v>
      </c>
      <c r="F16" s="44">
        <v>54</v>
      </c>
      <c r="G16" s="44">
        <v>48</v>
      </c>
      <c r="H16" s="44">
        <v>51</v>
      </c>
      <c r="I16" s="44">
        <v>44</v>
      </c>
      <c r="J16" s="44">
        <v>58</v>
      </c>
      <c r="K16" s="44">
        <v>52</v>
      </c>
      <c r="L16" s="44">
        <v>56</v>
      </c>
      <c r="M16" s="44">
        <v>46</v>
      </c>
    </row>
    <row r="17" spans="1:13">
      <c r="A17" s="44">
        <v>10</v>
      </c>
      <c r="B17" s="43">
        <v>61</v>
      </c>
      <c r="C17" s="43">
        <v>54</v>
      </c>
      <c r="D17" s="43">
        <v>57</v>
      </c>
      <c r="E17" s="43">
        <v>51</v>
      </c>
      <c r="F17" s="43">
        <v>75</v>
      </c>
      <c r="G17" s="43">
        <v>66</v>
      </c>
      <c r="H17" s="43">
        <v>69</v>
      </c>
      <c r="I17" s="43">
        <v>60</v>
      </c>
      <c r="J17" s="43">
        <v>80</v>
      </c>
      <c r="K17" s="43">
        <v>71</v>
      </c>
      <c r="L17" s="43">
        <v>73</v>
      </c>
      <c r="M17" s="43">
        <v>61</v>
      </c>
    </row>
    <row r="18" spans="1:13">
      <c r="A18" s="44">
        <v>16</v>
      </c>
      <c r="B18" s="43">
        <v>81</v>
      </c>
      <c r="C18" s="43">
        <v>73</v>
      </c>
      <c r="D18" s="43">
        <v>76</v>
      </c>
      <c r="E18" s="43">
        <v>68</v>
      </c>
      <c r="F18" s="43">
        <v>100</v>
      </c>
      <c r="G18" s="43">
        <v>88</v>
      </c>
      <c r="H18" s="43">
        <v>91</v>
      </c>
      <c r="I18" s="43">
        <v>80</v>
      </c>
      <c r="J18" s="43">
        <v>107</v>
      </c>
      <c r="K18" s="43">
        <v>96</v>
      </c>
      <c r="L18" s="43">
        <v>95</v>
      </c>
      <c r="M18" s="43">
        <v>79</v>
      </c>
    </row>
    <row r="19" spans="1:13">
      <c r="A19" s="43">
        <v>25</v>
      </c>
      <c r="B19" s="43">
        <v>106</v>
      </c>
      <c r="C19" s="43">
        <v>95</v>
      </c>
      <c r="D19" s="43">
        <v>99</v>
      </c>
      <c r="E19" s="43">
        <v>89</v>
      </c>
      <c r="F19" s="43">
        <v>133</v>
      </c>
      <c r="G19" s="43">
        <v>117</v>
      </c>
      <c r="H19" s="43">
        <v>119</v>
      </c>
      <c r="I19" s="43">
        <v>105</v>
      </c>
      <c r="J19" s="43">
        <v>138</v>
      </c>
      <c r="K19" s="43">
        <v>119</v>
      </c>
      <c r="L19" s="43">
        <v>121</v>
      </c>
      <c r="M19" s="43">
        <v>101</v>
      </c>
    </row>
    <row r="20" spans="1:13">
      <c r="A20" s="43">
        <v>35</v>
      </c>
      <c r="B20" s="43">
        <v>131</v>
      </c>
      <c r="C20" s="43">
        <v>117</v>
      </c>
      <c r="D20" s="43">
        <v>121</v>
      </c>
      <c r="E20" s="43">
        <v>109</v>
      </c>
      <c r="F20" s="43">
        <v>164</v>
      </c>
      <c r="G20" s="43">
        <v>144</v>
      </c>
      <c r="H20" s="43">
        <v>146</v>
      </c>
      <c r="I20" s="43">
        <v>128</v>
      </c>
      <c r="J20" s="43">
        <v>171</v>
      </c>
      <c r="K20" s="43">
        <v>147</v>
      </c>
      <c r="L20" s="43">
        <v>146</v>
      </c>
      <c r="M20" s="43">
        <v>122</v>
      </c>
    </row>
    <row r="21" spans="1:13">
      <c r="A21" s="43">
        <v>50</v>
      </c>
      <c r="B21" s="43">
        <v>158</v>
      </c>
      <c r="C21" s="43">
        <v>141</v>
      </c>
      <c r="D21" s="43">
        <v>145</v>
      </c>
      <c r="E21" s="43">
        <v>130</v>
      </c>
      <c r="F21" s="43">
        <v>198</v>
      </c>
      <c r="G21" s="43">
        <v>175</v>
      </c>
      <c r="H21" s="43">
        <v>175</v>
      </c>
      <c r="I21" s="43">
        <v>154</v>
      </c>
      <c r="J21" s="43">
        <v>209</v>
      </c>
      <c r="K21" s="43">
        <v>179</v>
      </c>
      <c r="L21" s="43">
        <v>173</v>
      </c>
      <c r="M21" s="43">
        <v>144</v>
      </c>
    </row>
    <row r="22" spans="1:13">
      <c r="A22" s="43">
        <v>70</v>
      </c>
      <c r="B22" s="43">
        <v>200</v>
      </c>
      <c r="C22" s="43">
        <v>179</v>
      </c>
      <c r="D22" s="43">
        <v>183</v>
      </c>
      <c r="E22" s="43">
        <v>164</v>
      </c>
      <c r="F22" s="43">
        <v>253</v>
      </c>
      <c r="G22" s="43">
        <v>222</v>
      </c>
      <c r="H22" s="43">
        <v>221</v>
      </c>
      <c r="I22" s="43">
        <v>194</v>
      </c>
      <c r="J22" s="43">
        <v>269</v>
      </c>
      <c r="K22" s="43">
        <v>229</v>
      </c>
      <c r="L22" s="43">
        <v>213</v>
      </c>
      <c r="M22" s="43">
        <v>178</v>
      </c>
    </row>
    <row r="23" spans="1:13">
      <c r="A23" s="43">
        <v>95</v>
      </c>
      <c r="B23" s="43">
        <v>241</v>
      </c>
      <c r="C23" s="43">
        <v>216</v>
      </c>
      <c r="D23" s="43">
        <v>220</v>
      </c>
      <c r="E23" s="43">
        <v>197</v>
      </c>
      <c r="F23" s="43">
        <v>306</v>
      </c>
      <c r="G23" s="43">
        <v>269</v>
      </c>
      <c r="H23" s="43">
        <v>265</v>
      </c>
      <c r="I23" s="43">
        <v>233</v>
      </c>
      <c r="J23" s="43">
        <v>328</v>
      </c>
      <c r="K23" s="43">
        <v>278</v>
      </c>
      <c r="L23" s="43">
        <v>252</v>
      </c>
      <c r="M23" s="43">
        <v>211</v>
      </c>
    </row>
    <row r="24" spans="1:13">
      <c r="A24" s="43">
        <v>120</v>
      </c>
      <c r="B24" s="43">
        <v>278</v>
      </c>
      <c r="C24" s="43">
        <v>249</v>
      </c>
      <c r="D24" s="43">
        <v>253</v>
      </c>
      <c r="E24" s="43">
        <v>227</v>
      </c>
      <c r="F24" s="43">
        <v>354</v>
      </c>
      <c r="G24" s="43">
        <v>312</v>
      </c>
      <c r="H24" s="43">
        <v>205</v>
      </c>
      <c r="I24" s="43">
        <v>268</v>
      </c>
      <c r="J24" s="43">
        <v>382</v>
      </c>
      <c r="K24" s="43">
        <v>322</v>
      </c>
      <c r="L24" s="43">
        <v>287</v>
      </c>
      <c r="M24" s="43">
        <v>240</v>
      </c>
    </row>
    <row r="25" spans="1:13">
      <c r="A25" s="43">
        <v>150</v>
      </c>
      <c r="B25" s="43">
        <v>318</v>
      </c>
      <c r="C25" s="43">
        <v>285</v>
      </c>
      <c r="D25" s="43">
        <v>290</v>
      </c>
      <c r="E25" s="43">
        <v>259</v>
      </c>
      <c r="F25" s="43">
        <v>407</v>
      </c>
      <c r="G25" s="43">
        <v>358</v>
      </c>
      <c r="H25" s="43">
        <v>349</v>
      </c>
      <c r="I25" s="43">
        <v>307</v>
      </c>
      <c r="J25" s="43">
        <v>441</v>
      </c>
      <c r="K25" s="43">
        <v>371</v>
      </c>
      <c r="L25" s="43">
        <v>324</v>
      </c>
      <c r="M25" s="43">
        <v>271</v>
      </c>
    </row>
    <row r="26" spans="1:13">
      <c r="A26" s="43">
        <v>185</v>
      </c>
      <c r="B26" s="43">
        <v>362</v>
      </c>
      <c r="C26" s="43">
        <v>324</v>
      </c>
      <c r="D26" s="43">
        <v>329</v>
      </c>
      <c r="E26" s="43">
        <v>295</v>
      </c>
      <c r="F26" s="43">
        <v>464</v>
      </c>
      <c r="G26" s="43">
        <v>408</v>
      </c>
      <c r="H26" s="43">
        <v>395</v>
      </c>
      <c r="I26" s="43">
        <v>348</v>
      </c>
      <c r="J26" s="43">
        <v>506</v>
      </c>
      <c r="K26" s="43">
        <v>424</v>
      </c>
      <c r="L26" s="43">
        <v>363</v>
      </c>
      <c r="M26" s="43">
        <v>304</v>
      </c>
    </row>
    <row r="27" spans="1:13">
      <c r="A27" s="43">
        <v>240</v>
      </c>
      <c r="B27" s="43">
        <v>424</v>
      </c>
      <c r="C27" s="43">
        <v>380</v>
      </c>
      <c r="D27" s="43">
        <v>386</v>
      </c>
      <c r="E27" s="43">
        <v>346</v>
      </c>
      <c r="F27" s="43">
        <v>546</v>
      </c>
      <c r="G27" s="43">
        <v>481</v>
      </c>
      <c r="H27" s="43">
        <v>462</v>
      </c>
      <c r="I27" s="43">
        <v>407</v>
      </c>
      <c r="J27" s="43">
        <v>599</v>
      </c>
      <c r="K27" s="43">
        <v>500</v>
      </c>
      <c r="L27" s="43">
        <v>419</v>
      </c>
      <c r="M27" s="43">
        <v>351</v>
      </c>
    </row>
    <row r="28" spans="1:13">
      <c r="A28" s="43">
        <v>300</v>
      </c>
      <c r="B28" s="43">
        <v>486</v>
      </c>
      <c r="C28" s="43">
        <v>435</v>
      </c>
      <c r="D28" s="43">
        <v>442</v>
      </c>
      <c r="E28" s="43">
        <v>396</v>
      </c>
      <c r="F28" s="43">
        <v>628</v>
      </c>
      <c r="G28" s="43">
        <v>553</v>
      </c>
      <c r="H28" s="43">
        <v>529</v>
      </c>
      <c r="I28" s="43">
        <v>465</v>
      </c>
      <c r="J28" s="43">
        <v>693</v>
      </c>
      <c r="K28" s="43">
        <v>576</v>
      </c>
      <c r="L28" s="43">
        <v>474</v>
      </c>
      <c r="M28" s="43">
        <v>396</v>
      </c>
    </row>
    <row r="29" spans="1:13">
      <c r="A29" s="43">
        <v>400</v>
      </c>
      <c r="B29" s="43">
        <v>579</v>
      </c>
      <c r="C29" s="43">
        <v>519</v>
      </c>
      <c r="D29" s="43">
        <v>527</v>
      </c>
      <c r="E29" s="43">
        <v>472</v>
      </c>
      <c r="F29" s="43">
        <v>751</v>
      </c>
      <c r="G29" s="43">
        <v>661</v>
      </c>
      <c r="H29" s="43">
        <v>628</v>
      </c>
      <c r="I29" s="43">
        <v>552</v>
      </c>
      <c r="J29" s="43">
        <v>835</v>
      </c>
      <c r="K29" s="43">
        <v>692</v>
      </c>
      <c r="L29" s="43">
        <v>555</v>
      </c>
      <c r="M29" s="43">
        <v>464</v>
      </c>
    </row>
    <row r="30" spans="1:13">
      <c r="A30" s="43">
        <v>500</v>
      </c>
      <c r="B30" s="43">
        <v>664</v>
      </c>
      <c r="C30" s="43">
        <v>595</v>
      </c>
      <c r="D30" s="43">
        <v>604</v>
      </c>
      <c r="E30" s="43">
        <v>541</v>
      </c>
      <c r="F30" s="43">
        <v>864</v>
      </c>
      <c r="G30" s="43">
        <v>760</v>
      </c>
      <c r="H30" s="43">
        <v>718</v>
      </c>
      <c r="I30" s="43">
        <v>631</v>
      </c>
      <c r="J30" s="43">
        <v>966</v>
      </c>
      <c r="K30" s="43">
        <v>797</v>
      </c>
      <c r="L30" s="43">
        <v>627</v>
      </c>
      <c r="M30" s="43">
        <v>525</v>
      </c>
    </row>
    <row r="31" spans="1:13">
      <c r="A31" s="43">
        <v>630</v>
      </c>
      <c r="B31" s="43">
        <v>765</v>
      </c>
      <c r="C31" s="43">
        <v>685</v>
      </c>
      <c r="D31" s="43">
        <v>696</v>
      </c>
      <c r="E31" s="43">
        <v>623</v>
      </c>
      <c r="F31" s="43">
        <v>998</v>
      </c>
      <c r="G31" s="43">
        <v>879</v>
      </c>
      <c r="H31" s="43">
        <v>825</v>
      </c>
      <c r="I31" s="43">
        <v>725</v>
      </c>
      <c r="J31" s="43">
        <v>1122</v>
      </c>
      <c r="K31" s="43">
        <v>923</v>
      </c>
      <c r="L31" s="43">
        <v>711</v>
      </c>
      <c r="M31" s="43">
        <v>596</v>
      </c>
    </row>
    <row r="32" spans="1:13">
      <c r="A32" s="43">
        <v>800</v>
      </c>
      <c r="B32" s="43">
        <v>885</v>
      </c>
      <c r="C32" s="43">
        <v>792</v>
      </c>
      <c r="D32" s="43">
        <v>805</v>
      </c>
      <c r="E32" s="43">
        <v>721</v>
      </c>
      <c r="F32" s="43">
        <v>1158</v>
      </c>
      <c r="G32" s="43">
        <v>1020</v>
      </c>
      <c r="H32" s="43">
        <v>952</v>
      </c>
      <c r="I32" s="43">
        <v>837</v>
      </c>
      <c r="J32" s="43">
        <v>1311</v>
      </c>
      <c r="K32" s="43">
        <v>1074</v>
      </c>
      <c r="L32" s="43">
        <v>811</v>
      </c>
      <c r="M32" s="43">
        <v>679</v>
      </c>
    </row>
    <row r="33" spans="1:13">
      <c r="A33" s="43">
        <v>1000</v>
      </c>
      <c r="B33" s="43">
        <v>1014</v>
      </c>
      <c r="C33" s="43">
        <v>908</v>
      </c>
      <c r="D33" s="43">
        <v>923</v>
      </c>
      <c r="E33" s="43">
        <v>826</v>
      </c>
      <c r="F33" s="43">
        <v>1332</v>
      </c>
      <c r="G33" s="43">
        <v>1173</v>
      </c>
      <c r="H33" s="43">
        <v>1088</v>
      </c>
      <c r="I33" s="43">
        <v>957</v>
      </c>
      <c r="J33" s="43">
        <v>1515</v>
      </c>
      <c r="K33" s="43">
        <v>1237</v>
      </c>
      <c r="L33" s="43">
        <v>916</v>
      </c>
      <c r="M33" s="43">
        <v>767</v>
      </c>
    </row>
    <row r="34" spans="1:1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</row>
    <row r="35" spans="1:13">
      <c r="A35" s="78" t="s">
        <v>130</v>
      </c>
      <c r="B35" s="78"/>
      <c r="C35" s="78"/>
      <c r="D35" s="78"/>
      <c r="E35" s="78"/>
      <c r="F35" s="78"/>
      <c r="G35" s="78"/>
      <c r="H35" s="78"/>
      <c r="I35" s="78"/>
      <c r="J35" s="78"/>
      <c r="K35" s="78"/>
      <c r="L35" s="78"/>
      <c r="M35" s="78"/>
    </row>
    <row r="36" spans="1:13">
      <c r="A36" s="44">
        <v>16</v>
      </c>
      <c r="B36" s="44">
        <v>64</v>
      </c>
      <c r="C36" s="44">
        <v>58</v>
      </c>
      <c r="D36" s="44">
        <v>60</v>
      </c>
      <c r="E36" s="44">
        <v>55</v>
      </c>
      <c r="F36" s="44">
        <v>79</v>
      </c>
      <c r="G36" s="44">
        <v>71</v>
      </c>
      <c r="H36" s="44">
        <v>72</v>
      </c>
      <c r="I36" s="44">
        <v>64</v>
      </c>
      <c r="J36" s="44">
        <v>84</v>
      </c>
      <c r="K36" s="44">
        <v>76</v>
      </c>
      <c r="L36" s="44">
        <v>73</v>
      </c>
      <c r="M36" s="44">
        <v>61</v>
      </c>
    </row>
    <row r="37" spans="1:13">
      <c r="A37" s="44">
        <v>25</v>
      </c>
      <c r="B37" s="44">
        <v>84</v>
      </c>
      <c r="C37" s="44">
        <v>76</v>
      </c>
      <c r="D37" s="44">
        <v>78</v>
      </c>
      <c r="E37" s="44">
        <v>71</v>
      </c>
      <c r="F37" s="44">
        <v>105</v>
      </c>
      <c r="G37" s="44">
        <v>93</v>
      </c>
      <c r="H37" s="44">
        <v>94</v>
      </c>
      <c r="I37" s="44">
        <v>84</v>
      </c>
      <c r="J37" s="44">
        <v>101</v>
      </c>
      <c r="K37" s="44">
        <v>90</v>
      </c>
      <c r="L37" s="44">
        <v>93</v>
      </c>
      <c r="M37" s="44">
        <v>78</v>
      </c>
    </row>
    <row r="38" spans="1:13">
      <c r="A38" s="44">
        <v>35</v>
      </c>
      <c r="B38" s="44">
        <v>103</v>
      </c>
      <c r="C38" s="44">
        <v>94</v>
      </c>
      <c r="D38" s="44">
        <v>96</v>
      </c>
      <c r="E38" s="44">
        <v>87</v>
      </c>
      <c r="F38" s="44">
        <v>130</v>
      </c>
      <c r="G38" s="44">
        <v>116</v>
      </c>
      <c r="H38" s="44">
        <v>115</v>
      </c>
      <c r="I38" s="44">
        <v>103</v>
      </c>
      <c r="J38" s="44">
        <v>126</v>
      </c>
      <c r="K38" s="44">
        <v>112</v>
      </c>
      <c r="L38" s="44">
        <v>112</v>
      </c>
      <c r="M38" s="44">
        <v>94</v>
      </c>
    </row>
    <row r="39" spans="1:13">
      <c r="A39" s="44">
        <v>50</v>
      </c>
      <c r="B39" s="44">
        <v>125</v>
      </c>
      <c r="C39" s="44">
        <v>113</v>
      </c>
      <c r="D39" s="44">
        <v>115</v>
      </c>
      <c r="E39" s="44">
        <v>104</v>
      </c>
      <c r="F39" s="44">
        <v>157</v>
      </c>
      <c r="G39" s="44">
        <v>140</v>
      </c>
      <c r="H39" s="44">
        <v>138</v>
      </c>
      <c r="I39" s="44">
        <v>124</v>
      </c>
      <c r="J39" s="44">
        <v>154</v>
      </c>
      <c r="K39" s="44">
        <v>136</v>
      </c>
      <c r="L39" s="44">
        <v>132</v>
      </c>
      <c r="M39" s="40">
        <v>112</v>
      </c>
    </row>
    <row r="40" spans="1:13">
      <c r="A40" s="44">
        <v>70</v>
      </c>
      <c r="B40" s="44">
        <v>158</v>
      </c>
      <c r="C40" s="44">
        <v>142</v>
      </c>
      <c r="D40" s="44">
        <v>145</v>
      </c>
      <c r="E40" s="44">
        <v>131</v>
      </c>
      <c r="F40" s="44">
        <v>200</v>
      </c>
      <c r="G40" s="44">
        <v>179</v>
      </c>
      <c r="H40" s="44">
        <v>175</v>
      </c>
      <c r="I40" s="44">
        <v>156</v>
      </c>
      <c r="J40" s="44">
        <v>198</v>
      </c>
      <c r="K40" s="44">
        <v>174</v>
      </c>
      <c r="L40" s="44">
        <v>163</v>
      </c>
      <c r="M40" s="44">
        <v>138</v>
      </c>
    </row>
    <row r="41" spans="1:13">
      <c r="A41" s="44">
        <v>95</v>
      </c>
      <c r="B41" s="44">
        <v>191</v>
      </c>
      <c r="C41" s="44">
        <v>171</v>
      </c>
      <c r="D41" s="44">
        <v>175</v>
      </c>
      <c r="E41" s="44">
        <v>157</v>
      </c>
      <c r="F41" s="44">
        <v>242</v>
      </c>
      <c r="G41" s="44">
        <v>217</v>
      </c>
      <c r="H41" s="44">
        <v>210</v>
      </c>
      <c r="I41" s="44">
        <v>188</v>
      </c>
      <c r="J41" s="44">
        <v>241</v>
      </c>
      <c r="K41" s="44">
        <v>211</v>
      </c>
      <c r="L41" s="44">
        <v>193</v>
      </c>
      <c r="M41" s="44">
        <v>164</v>
      </c>
    </row>
    <row r="42" spans="1:13">
      <c r="A42" s="44">
        <v>120</v>
      </c>
      <c r="B42" s="44">
        <v>220</v>
      </c>
      <c r="C42" s="44">
        <v>197</v>
      </c>
      <c r="D42" s="44">
        <v>201</v>
      </c>
      <c r="E42" s="44">
        <v>180</v>
      </c>
      <c r="F42" s="44">
        <v>281</v>
      </c>
      <c r="G42" s="44">
        <v>251</v>
      </c>
      <c r="H42" s="44">
        <v>242</v>
      </c>
      <c r="I42" s="44">
        <v>216</v>
      </c>
      <c r="J42" s="44">
        <v>280</v>
      </c>
      <c r="K42" s="44">
        <v>245</v>
      </c>
      <c r="L42" s="44">
        <v>220</v>
      </c>
      <c r="M42" s="44">
        <v>186</v>
      </c>
    </row>
    <row r="43" spans="1:13">
      <c r="A43" s="44">
        <v>150</v>
      </c>
      <c r="B43" s="44">
        <v>253</v>
      </c>
      <c r="C43" s="44">
        <v>226</v>
      </c>
      <c r="D43" s="44">
        <v>230</v>
      </c>
      <c r="E43" s="44">
        <v>206</v>
      </c>
      <c r="F43" s="44">
        <v>323</v>
      </c>
      <c r="G43" s="44">
        <v>289</v>
      </c>
      <c r="H43" s="44">
        <v>277</v>
      </c>
      <c r="I43" s="44">
        <v>248</v>
      </c>
      <c r="J43" s="44">
        <v>324</v>
      </c>
      <c r="K43" s="44">
        <v>283</v>
      </c>
      <c r="L43" s="44">
        <v>249</v>
      </c>
      <c r="M43" s="44">
        <v>210</v>
      </c>
    </row>
    <row r="44" spans="1:13">
      <c r="A44" s="44">
        <v>185</v>
      </c>
      <c r="B44" s="44">
        <v>288</v>
      </c>
      <c r="C44" s="44">
        <v>256</v>
      </c>
      <c r="D44" s="44">
        <v>262</v>
      </c>
      <c r="E44" s="44">
        <v>233</v>
      </c>
      <c r="F44" s="44">
        <v>368</v>
      </c>
      <c r="G44" s="44">
        <v>330</v>
      </c>
      <c r="H44" s="44">
        <v>314</v>
      </c>
      <c r="I44" s="44">
        <v>281</v>
      </c>
      <c r="J44" s="44">
        <v>371</v>
      </c>
      <c r="K44" s="44">
        <v>323</v>
      </c>
      <c r="L44" s="44">
        <v>279</v>
      </c>
      <c r="M44" s="44">
        <v>236</v>
      </c>
    </row>
    <row r="45" spans="1:13">
      <c r="A45" s="44">
        <v>240</v>
      </c>
      <c r="B45" s="44">
        <v>338</v>
      </c>
      <c r="C45" s="44">
        <v>300</v>
      </c>
      <c r="D45" s="44">
        <v>207</v>
      </c>
      <c r="E45" s="44">
        <v>273</v>
      </c>
      <c r="F45" s="44">
        <v>433</v>
      </c>
      <c r="G45" s="44">
        <v>389</v>
      </c>
      <c r="H45" s="44">
        <v>368</v>
      </c>
      <c r="I45" s="44">
        <v>329</v>
      </c>
      <c r="J45" s="44">
        <v>439</v>
      </c>
      <c r="K45" s="44">
        <v>382</v>
      </c>
      <c r="L45" s="44">
        <v>322</v>
      </c>
      <c r="M45" s="44">
        <v>272</v>
      </c>
    </row>
    <row r="46" spans="1:13">
      <c r="A46" s="44">
        <v>300</v>
      </c>
      <c r="B46" s="44">
        <v>387</v>
      </c>
      <c r="C46" s="44">
        <v>344</v>
      </c>
      <c r="D46" s="44">
        <v>352</v>
      </c>
      <c r="E46" s="44">
        <v>313</v>
      </c>
      <c r="F46" s="44">
        <v>499</v>
      </c>
      <c r="G46" s="44">
        <v>447</v>
      </c>
      <c r="H46" s="44">
        <v>421</v>
      </c>
      <c r="I46" s="44">
        <v>377</v>
      </c>
      <c r="J46" s="44">
        <v>508</v>
      </c>
      <c r="K46" s="44">
        <v>440</v>
      </c>
      <c r="L46" s="44">
        <v>364</v>
      </c>
      <c r="M46" s="44">
        <v>308</v>
      </c>
    </row>
    <row r="47" spans="1:13">
      <c r="A47" s="44">
        <v>400</v>
      </c>
      <c r="B47" s="44">
        <v>462</v>
      </c>
      <c r="C47" s="44">
        <v>409</v>
      </c>
      <c r="D47" s="44">
        <v>421</v>
      </c>
      <c r="E47" s="44">
        <v>372</v>
      </c>
      <c r="F47" s="44">
        <v>597</v>
      </c>
      <c r="G47" s="44">
        <v>536</v>
      </c>
      <c r="H47" s="44">
        <v>500</v>
      </c>
      <c r="I47" s="44">
        <v>448</v>
      </c>
      <c r="J47" s="44">
        <v>612</v>
      </c>
      <c r="K47" s="44">
        <v>529</v>
      </c>
      <c r="L47" s="44">
        <v>426</v>
      </c>
      <c r="M47" s="44">
        <v>361</v>
      </c>
    </row>
    <row r="48" spans="1:13">
      <c r="A48" s="44">
        <v>500</v>
      </c>
      <c r="B48" s="44">
        <v>530</v>
      </c>
      <c r="C48" s="44">
        <v>468</v>
      </c>
      <c r="D48" s="44">
        <v>483</v>
      </c>
      <c r="E48" s="44">
        <v>426</v>
      </c>
      <c r="F48" s="44">
        <v>687</v>
      </c>
      <c r="G48" s="44">
        <v>617</v>
      </c>
      <c r="H48" s="44">
        <v>573</v>
      </c>
      <c r="I48" s="44">
        <v>513</v>
      </c>
      <c r="J48" s="44">
        <v>707</v>
      </c>
      <c r="K48" s="44">
        <v>610</v>
      </c>
      <c r="L48" s="44">
        <v>482</v>
      </c>
      <c r="M48" s="44">
        <v>408</v>
      </c>
    </row>
    <row r="49" spans="1:13">
      <c r="A49" s="44">
        <v>630</v>
      </c>
      <c r="B49" s="44">
        <v>611</v>
      </c>
      <c r="C49" s="44">
        <v>538</v>
      </c>
      <c r="D49" s="44">
        <v>556</v>
      </c>
      <c r="E49" s="44">
        <v>490</v>
      </c>
      <c r="F49" s="44">
        <v>794</v>
      </c>
      <c r="G49" s="44">
        <v>714</v>
      </c>
      <c r="H49" s="44">
        <v>658</v>
      </c>
      <c r="I49" s="44">
        <v>590</v>
      </c>
      <c r="J49" s="44">
        <v>821</v>
      </c>
      <c r="K49" s="44">
        <v>707</v>
      </c>
      <c r="L49" s="44">
        <v>547</v>
      </c>
      <c r="M49" s="44">
        <v>464</v>
      </c>
    </row>
    <row r="50" spans="1:13">
      <c r="A50" s="44">
        <v>800</v>
      </c>
      <c r="B50" s="44">
        <v>708</v>
      </c>
      <c r="C50" s="44">
        <v>622</v>
      </c>
      <c r="D50" s="44">
        <v>644</v>
      </c>
      <c r="E50" s="44">
        <v>566</v>
      </c>
      <c r="F50" s="44">
        <v>922</v>
      </c>
      <c r="G50" s="44">
        <v>830</v>
      </c>
      <c r="H50" s="44">
        <v>760</v>
      </c>
      <c r="I50" s="44">
        <v>682</v>
      </c>
      <c r="J50" s="44">
        <v>958</v>
      </c>
      <c r="K50" s="44">
        <v>824</v>
      </c>
      <c r="L50" s="44">
        <v>624</v>
      </c>
      <c r="M50" s="44">
        <v>529</v>
      </c>
    </row>
    <row r="51" spans="1:13">
      <c r="A51" s="44">
        <v>1000</v>
      </c>
      <c r="B51" s="44">
        <v>812</v>
      </c>
      <c r="C51" s="44">
        <v>712</v>
      </c>
      <c r="D51" s="44">
        <v>739</v>
      </c>
      <c r="E51" s="44">
        <v>648</v>
      </c>
      <c r="F51" s="44">
        <v>1061</v>
      </c>
      <c r="G51" s="44">
        <v>955</v>
      </c>
      <c r="H51" s="44">
        <v>870</v>
      </c>
      <c r="I51" s="44">
        <v>780</v>
      </c>
      <c r="J51" s="44">
        <v>1108</v>
      </c>
      <c r="K51" s="44">
        <v>950</v>
      </c>
      <c r="L51" s="44">
        <v>706</v>
      </c>
      <c r="M51" s="44">
        <v>598</v>
      </c>
    </row>
    <row r="52" spans="1:13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</row>
    <row r="53" spans="1:13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</row>
    <row r="54" spans="1:13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</row>
    <row r="55" spans="1:13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</row>
    <row r="56" spans="1:13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</row>
    <row r="57" spans="1:13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</row>
    <row r="58" spans="1:13">
      <c r="A58" s="40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1:13">
      <c r="A59" s="40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</row>
    <row r="60" spans="1:13">
      <c r="A60" s="40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0"/>
    </row>
    <row r="61" spans="1:13">
      <c r="A61" s="40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1:13">
      <c r="A62" s="40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0"/>
    </row>
    <row r="63" spans="1:13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1:13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</row>
    <row r="65" spans="1:13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1:13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</row>
    <row r="67" spans="1:13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1:13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</row>
    <row r="69" spans="1:13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1:13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1:1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1:1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40"/>
      <c r="L72" s="40"/>
      <c r="M72" s="40"/>
    </row>
    <row r="73" spans="1:13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40"/>
      <c r="L73" s="40"/>
      <c r="M73" s="40"/>
    </row>
    <row r="74" spans="1:13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40"/>
      <c r="L74" s="40"/>
      <c r="M74" s="40"/>
    </row>
    <row r="75" spans="1:13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</row>
    <row r="76" spans="1:1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</row>
    <row r="77" spans="1:1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</row>
    <row r="78" spans="1:13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40"/>
      <c r="L78" s="40"/>
      <c r="M78" s="40"/>
    </row>
    <row r="79" spans="1:13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40"/>
      <c r="L79" s="40"/>
      <c r="M79" s="40"/>
    </row>
    <row r="80" spans="1:13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40"/>
      <c r="L80" s="40"/>
      <c r="M80" s="40"/>
    </row>
    <row r="81" spans="1:13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40"/>
      <c r="L81" s="40"/>
      <c r="M81" s="40"/>
    </row>
    <row r="82" spans="1:13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40"/>
      <c r="L82" s="40"/>
      <c r="M82" s="40"/>
    </row>
    <row r="83" spans="1:13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</row>
    <row r="84" spans="1:13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</row>
    <row r="85" spans="1:13">
      <c r="A85" s="40"/>
      <c r="B85" s="40"/>
      <c r="C85" s="40"/>
      <c r="D85" s="40"/>
      <c r="E85" s="40"/>
      <c r="F85" s="40"/>
      <c r="G85" s="40"/>
      <c r="H85" s="40"/>
      <c r="I85" s="40"/>
      <c r="J85" s="40"/>
      <c r="K85" s="40"/>
      <c r="L85" s="40"/>
      <c r="M85" s="40"/>
    </row>
    <row r="86" spans="1:13">
      <c r="A86" s="40"/>
      <c r="B86" s="40"/>
      <c r="C86" s="40"/>
      <c r="D86" s="40"/>
      <c r="E86" s="40"/>
      <c r="F86" s="40"/>
      <c r="G86" s="40"/>
      <c r="H86" s="40"/>
      <c r="I86" s="40"/>
      <c r="J86" s="40"/>
      <c r="K86" s="40"/>
      <c r="L86" s="40"/>
      <c r="M86" s="40"/>
    </row>
    <row r="87" spans="1:13">
      <c r="A87" s="40"/>
      <c r="B87" s="40"/>
      <c r="C87" s="40"/>
      <c r="D87" s="40"/>
      <c r="E87" s="40"/>
      <c r="F87" s="40"/>
      <c r="G87" s="40"/>
      <c r="H87" s="40"/>
      <c r="I87" s="40"/>
      <c r="J87" s="40"/>
      <c r="K87" s="40"/>
      <c r="L87" s="40"/>
      <c r="M87" s="40"/>
    </row>
    <row r="88" spans="1:13">
      <c r="A88" s="40"/>
      <c r="B88" s="40"/>
      <c r="C88" s="40"/>
      <c r="D88" s="40"/>
      <c r="E88" s="40"/>
      <c r="F88" s="40"/>
      <c r="G88" s="40"/>
      <c r="H88" s="40"/>
      <c r="I88" s="40"/>
      <c r="J88" s="40"/>
      <c r="K88" s="40"/>
      <c r="L88" s="40"/>
      <c r="M88" s="40"/>
    </row>
    <row r="89" spans="1:13">
      <c r="A89" s="40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</row>
    <row r="90" spans="1:13">
      <c r="A90" s="40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</row>
    <row r="91" spans="1:13">
      <c r="A91" s="40"/>
      <c r="B91" s="40"/>
      <c r="C91" s="40"/>
      <c r="D91" s="40"/>
      <c r="E91" s="40"/>
      <c r="F91" s="40"/>
      <c r="G91" s="40"/>
      <c r="H91" s="40"/>
      <c r="I91" s="40"/>
      <c r="J91" s="40"/>
      <c r="K91" s="40"/>
      <c r="L91" s="40"/>
      <c r="M91" s="40"/>
    </row>
    <row r="92" spans="1:13">
      <c r="A92" s="40"/>
      <c r="B92" s="40"/>
      <c r="C92" s="40"/>
      <c r="D92" s="40"/>
      <c r="E92" s="40"/>
      <c r="F92" s="40"/>
      <c r="G92" s="40"/>
      <c r="H92" s="40"/>
      <c r="I92" s="40"/>
      <c r="J92" s="40"/>
      <c r="K92" s="40"/>
      <c r="L92" s="40"/>
      <c r="M92" s="40"/>
    </row>
    <row r="93" spans="1:13">
      <c r="A93" s="40"/>
      <c r="B93" s="40"/>
      <c r="C93" s="40"/>
      <c r="D93" s="40"/>
      <c r="E93" s="40"/>
      <c r="F93" s="40"/>
      <c r="G93" s="40"/>
      <c r="H93" s="40"/>
      <c r="I93" s="40"/>
      <c r="J93" s="40"/>
      <c r="K93" s="40"/>
      <c r="L93" s="40"/>
      <c r="M93" s="40"/>
    </row>
    <row r="94" spans="1:13">
      <c r="A94" s="40"/>
      <c r="B94" s="40"/>
      <c r="C94" s="40"/>
      <c r="D94" s="40"/>
      <c r="E94" s="40"/>
      <c r="F94" s="40"/>
      <c r="G94" s="40"/>
      <c r="H94" s="40"/>
      <c r="I94" s="40"/>
      <c r="J94" s="40"/>
      <c r="K94" s="40"/>
      <c r="L94" s="40"/>
      <c r="M94" s="40"/>
    </row>
    <row r="95" spans="1:13">
      <c r="A95" s="40"/>
      <c r="B95" s="40"/>
      <c r="C95" s="40"/>
      <c r="D95" s="40"/>
      <c r="E95" s="40"/>
      <c r="F95" s="40"/>
      <c r="G95" s="40"/>
      <c r="H95" s="40"/>
      <c r="I95" s="40"/>
      <c r="J95" s="40"/>
      <c r="K95" s="40"/>
      <c r="L95" s="40"/>
      <c r="M95" s="40"/>
    </row>
    <row r="96" spans="1:13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</row>
    <row r="97" spans="1:13">
      <c r="A97" s="40"/>
      <c r="B97" s="40"/>
      <c r="C97" s="40"/>
      <c r="D97" s="40"/>
      <c r="E97" s="40"/>
      <c r="F97" s="40"/>
      <c r="G97" s="40"/>
      <c r="H97" s="40"/>
      <c r="I97" s="40"/>
      <c r="J97" s="40"/>
      <c r="K97" s="40"/>
      <c r="L97" s="40"/>
      <c r="M97" s="40"/>
    </row>
    <row r="98" spans="1:13">
      <c r="A98" s="40"/>
      <c r="B98" s="40"/>
      <c r="C98" s="40"/>
      <c r="D98" s="40"/>
      <c r="E98" s="40"/>
      <c r="F98" s="40"/>
      <c r="G98" s="40"/>
      <c r="H98" s="40"/>
      <c r="I98" s="40"/>
      <c r="J98" s="40"/>
      <c r="K98" s="40"/>
      <c r="L98" s="40"/>
      <c r="M98" s="40"/>
    </row>
    <row r="99" spans="1:13">
      <c r="A99" s="40"/>
      <c r="B99" s="40"/>
      <c r="C99" s="40"/>
      <c r="D99" s="40"/>
      <c r="E99" s="40"/>
      <c r="F99" s="40"/>
      <c r="G99" s="40"/>
      <c r="H99" s="40"/>
      <c r="I99" s="40"/>
      <c r="J99" s="40"/>
      <c r="K99" s="40"/>
      <c r="L99" s="40"/>
      <c r="M99" s="40"/>
    </row>
    <row r="100" spans="1:13">
      <c r="A100" s="40"/>
      <c r="B100" s="40"/>
      <c r="C100" s="40"/>
      <c r="D100" s="40"/>
      <c r="E100" s="40"/>
      <c r="F100" s="40"/>
      <c r="G100" s="40"/>
      <c r="H100" s="40"/>
      <c r="I100" s="40"/>
      <c r="J100" s="40"/>
      <c r="K100" s="40"/>
      <c r="L100" s="40"/>
      <c r="M100" s="40"/>
    </row>
    <row r="101" spans="1:13">
      <c r="A101" s="40"/>
      <c r="B101" s="40"/>
      <c r="C101" s="40"/>
      <c r="D101" s="40"/>
      <c r="E101" s="40"/>
      <c r="F101" s="40"/>
      <c r="G101" s="40"/>
      <c r="H101" s="40"/>
      <c r="I101" s="40"/>
      <c r="J101" s="40"/>
      <c r="K101" s="40"/>
      <c r="L101" s="40"/>
      <c r="M101" s="40"/>
    </row>
    <row r="102" spans="1:13">
      <c r="A102" s="40"/>
      <c r="B102" s="40"/>
      <c r="C102" s="40"/>
      <c r="D102" s="40"/>
      <c r="E102" s="40"/>
      <c r="F102" s="40"/>
      <c r="G102" s="40"/>
      <c r="H102" s="40"/>
      <c r="I102" s="40"/>
      <c r="J102" s="40"/>
      <c r="K102" s="40"/>
      <c r="L102" s="40"/>
      <c r="M102" s="40"/>
    </row>
    <row r="103" spans="1:13">
      <c r="A103" s="40"/>
      <c r="B103" s="40"/>
      <c r="C103" s="40"/>
      <c r="D103" s="40"/>
      <c r="E103" s="40"/>
      <c r="F103" s="40"/>
      <c r="G103" s="40"/>
      <c r="H103" s="40"/>
      <c r="I103" s="40"/>
      <c r="J103" s="40"/>
      <c r="K103" s="40"/>
      <c r="L103" s="40"/>
      <c r="M103" s="40"/>
    </row>
    <row r="104" spans="1:13">
      <c r="A104" s="40"/>
      <c r="B104" s="40"/>
      <c r="C104" s="40"/>
      <c r="D104" s="40"/>
      <c r="E104" s="40"/>
      <c r="F104" s="40"/>
      <c r="G104" s="40"/>
      <c r="H104" s="40"/>
      <c r="I104" s="40"/>
      <c r="J104" s="40"/>
      <c r="K104" s="40"/>
      <c r="L104" s="40"/>
      <c r="M104" s="40"/>
    </row>
    <row r="105" spans="1:13">
      <c r="A105" s="40"/>
      <c r="B105" s="40"/>
      <c r="C105" s="40"/>
      <c r="D105" s="40"/>
      <c r="E105" s="40"/>
      <c r="F105" s="40"/>
      <c r="G105" s="40"/>
      <c r="H105" s="40"/>
      <c r="I105" s="40"/>
      <c r="J105" s="40"/>
      <c r="K105" s="40"/>
      <c r="L105" s="40"/>
      <c r="M105" s="40"/>
    </row>
    <row r="106" spans="1:13">
      <c r="A106" s="40"/>
      <c r="B106" s="40"/>
      <c r="C106" s="40"/>
      <c r="D106" s="40"/>
      <c r="E106" s="40"/>
      <c r="F106" s="40"/>
      <c r="G106" s="40"/>
      <c r="H106" s="40"/>
      <c r="I106" s="40"/>
      <c r="J106" s="40"/>
      <c r="K106" s="40"/>
      <c r="L106" s="40"/>
      <c r="M106" s="40"/>
    </row>
    <row r="107" spans="1:13">
      <c r="A107" s="40"/>
      <c r="B107" s="40"/>
      <c r="C107" s="40"/>
      <c r="D107" s="40"/>
      <c r="E107" s="40"/>
      <c r="F107" s="40"/>
      <c r="G107" s="40"/>
      <c r="H107" s="40"/>
      <c r="I107" s="40"/>
      <c r="J107" s="40"/>
      <c r="K107" s="40"/>
      <c r="L107" s="40"/>
      <c r="M107" s="40"/>
    </row>
    <row r="108" spans="1:13">
      <c r="A108" s="40"/>
      <c r="B108" s="40"/>
      <c r="C108" s="40"/>
      <c r="D108" s="40"/>
      <c r="E108" s="40"/>
      <c r="F108" s="40"/>
      <c r="G108" s="40"/>
      <c r="H108" s="40"/>
      <c r="I108" s="40"/>
      <c r="J108" s="40"/>
      <c r="K108" s="40"/>
      <c r="L108" s="40"/>
      <c r="M108" s="40"/>
    </row>
    <row r="109" spans="1:13">
      <c r="A109" s="40"/>
      <c r="B109" s="40"/>
      <c r="C109" s="40"/>
      <c r="D109" s="40"/>
      <c r="E109" s="40"/>
      <c r="F109" s="40"/>
      <c r="G109" s="40"/>
      <c r="H109" s="40"/>
      <c r="I109" s="40"/>
      <c r="J109" s="40"/>
      <c r="K109" s="40"/>
      <c r="L109" s="40"/>
      <c r="M109" s="40"/>
    </row>
    <row r="110" spans="1:13">
      <c r="A110" s="40"/>
      <c r="B110" s="40"/>
      <c r="C110" s="40"/>
      <c r="D110" s="40"/>
      <c r="E110" s="40"/>
      <c r="F110" s="40"/>
      <c r="G110" s="40"/>
      <c r="H110" s="40"/>
      <c r="I110" s="40"/>
      <c r="J110" s="40"/>
      <c r="K110" s="40"/>
      <c r="L110" s="40"/>
      <c r="M110" s="40"/>
    </row>
    <row r="111" spans="1:13">
      <c r="A111" s="40"/>
      <c r="B111" s="40"/>
      <c r="C111" s="40"/>
      <c r="D111" s="40"/>
      <c r="E111" s="40"/>
      <c r="F111" s="40"/>
      <c r="G111" s="40"/>
      <c r="H111" s="40"/>
      <c r="I111" s="40"/>
      <c r="J111" s="40"/>
      <c r="K111" s="40"/>
      <c r="L111" s="40"/>
      <c r="M111" s="40"/>
    </row>
    <row r="112" spans="1:13">
      <c r="A112" s="40"/>
      <c r="B112" s="40"/>
      <c r="C112" s="40"/>
      <c r="D112" s="40"/>
      <c r="E112" s="40"/>
      <c r="F112" s="40"/>
      <c r="G112" s="40"/>
      <c r="H112" s="40"/>
      <c r="I112" s="40"/>
      <c r="J112" s="40"/>
      <c r="K112" s="40"/>
      <c r="L112" s="40"/>
      <c r="M112" s="40"/>
    </row>
    <row r="113" spans="1:13">
      <c r="A113" s="40"/>
      <c r="B113" s="40"/>
      <c r="C113" s="40"/>
      <c r="D113" s="40"/>
      <c r="E113" s="40"/>
      <c r="F113" s="40"/>
      <c r="G113" s="40"/>
      <c r="H113" s="40"/>
      <c r="I113" s="40"/>
      <c r="J113" s="40"/>
      <c r="K113" s="40"/>
      <c r="L113" s="40"/>
      <c r="M113" s="40"/>
    </row>
    <row r="114" spans="1:13">
      <c r="A114" s="40"/>
      <c r="B114" s="40"/>
      <c r="C114" s="40"/>
      <c r="D114" s="40"/>
      <c r="E114" s="40"/>
      <c r="F114" s="40"/>
      <c r="G114" s="40"/>
      <c r="H114" s="40"/>
      <c r="I114" s="40"/>
      <c r="J114" s="40"/>
      <c r="K114" s="40"/>
      <c r="L114" s="40"/>
      <c r="M114" s="40"/>
    </row>
    <row r="115" spans="1:13">
      <c r="A115" s="40"/>
      <c r="B115" s="40"/>
      <c r="C115" s="40"/>
      <c r="D115" s="40"/>
      <c r="E115" s="40"/>
      <c r="F115" s="40"/>
      <c r="G115" s="40"/>
      <c r="H115" s="40"/>
      <c r="I115" s="40"/>
      <c r="J115" s="40"/>
      <c r="K115" s="40"/>
      <c r="L115" s="40"/>
      <c r="M115" s="40"/>
    </row>
    <row r="116" spans="1:13">
      <c r="A116" s="40"/>
      <c r="B116" s="40"/>
      <c r="C116" s="40"/>
      <c r="D116" s="40"/>
      <c r="E116" s="40"/>
      <c r="F116" s="40"/>
      <c r="G116" s="40"/>
      <c r="H116" s="40"/>
      <c r="I116" s="40"/>
      <c r="J116" s="40"/>
      <c r="K116" s="40"/>
      <c r="L116" s="40"/>
      <c r="M116" s="40"/>
    </row>
    <row r="117" spans="1:13">
      <c r="A117" s="40"/>
      <c r="B117" s="40"/>
      <c r="C117" s="40"/>
      <c r="D117" s="40"/>
      <c r="E117" s="40"/>
      <c r="F117" s="40"/>
      <c r="G117" s="40"/>
      <c r="H117" s="40"/>
      <c r="I117" s="40"/>
      <c r="J117" s="40"/>
      <c r="K117" s="40"/>
      <c r="L117" s="40"/>
      <c r="M117" s="40"/>
    </row>
    <row r="118" spans="1:13">
      <c r="A118" s="40"/>
      <c r="B118" s="40"/>
      <c r="C118" s="40"/>
      <c r="D118" s="40"/>
      <c r="E118" s="40"/>
      <c r="F118" s="40"/>
      <c r="G118" s="40"/>
      <c r="H118" s="40"/>
      <c r="I118" s="40"/>
      <c r="J118" s="40"/>
      <c r="K118" s="40"/>
      <c r="L118" s="40"/>
      <c r="M118" s="40"/>
    </row>
    <row r="119" spans="1:13">
      <c r="A119" s="40"/>
      <c r="B119" s="40"/>
      <c r="C119" s="40"/>
      <c r="D119" s="40"/>
      <c r="E119" s="40"/>
      <c r="F119" s="40"/>
      <c r="G119" s="40"/>
      <c r="H119" s="40"/>
      <c r="I119" s="40"/>
      <c r="J119" s="40"/>
      <c r="K119" s="40"/>
      <c r="L119" s="40"/>
      <c r="M119" s="40"/>
    </row>
    <row r="120" spans="1:13">
      <c r="A120" s="40"/>
      <c r="B120" s="40"/>
      <c r="C120" s="40"/>
      <c r="D120" s="40"/>
      <c r="E120" s="40"/>
      <c r="F120" s="40"/>
      <c r="G120" s="40"/>
      <c r="H120" s="40"/>
      <c r="I120" s="40"/>
      <c r="J120" s="40"/>
      <c r="K120" s="40"/>
      <c r="L120" s="40"/>
      <c r="M120" s="40"/>
    </row>
    <row r="121" spans="1:13">
      <c r="A121" s="40"/>
      <c r="B121" s="40"/>
      <c r="C121" s="40"/>
      <c r="D121" s="40"/>
      <c r="E121" s="40"/>
      <c r="F121" s="40"/>
      <c r="G121" s="40"/>
      <c r="H121" s="40"/>
      <c r="I121" s="40"/>
      <c r="J121" s="40"/>
      <c r="K121" s="40"/>
      <c r="L121" s="40"/>
      <c r="M121" s="40"/>
    </row>
    <row r="122" spans="1:13">
      <c r="A122" s="40"/>
      <c r="B122" s="40"/>
      <c r="C122" s="40"/>
      <c r="D122" s="40"/>
      <c r="E122" s="40"/>
      <c r="F122" s="40"/>
      <c r="G122" s="40"/>
      <c r="H122" s="40"/>
      <c r="I122" s="40"/>
      <c r="J122" s="40"/>
      <c r="K122" s="40"/>
      <c r="L122" s="40"/>
      <c r="M122" s="40"/>
    </row>
    <row r="123" spans="1:13">
      <c r="A123" s="40"/>
      <c r="B123" s="40"/>
      <c r="C123" s="40"/>
      <c r="D123" s="40"/>
      <c r="E123" s="40"/>
      <c r="F123" s="40"/>
      <c r="G123" s="40"/>
      <c r="H123" s="40"/>
      <c r="I123" s="40"/>
      <c r="J123" s="40"/>
      <c r="K123" s="40"/>
      <c r="L123" s="40"/>
      <c r="M123" s="40"/>
    </row>
    <row r="124" spans="1:13">
      <c r="A124" s="40"/>
      <c r="B124" s="40"/>
      <c r="C124" s="40"/>
      <c r="D124" s="40"/>
      <c r="E124" s="40"/>
      <c r="F124" s="40"/>
      <c r="G124" s="40"/>
      <c r="H124" s="40"/>
      <c r="I124" s="40"/>
      <c r="J124" s="40"/>
      <c r="K124" s="40"/>
      <c r="L124" s="40"/>
      <c r="M124" s="40"/>
    </row>
    <row r="125" spans="1:13">
      <c r="A125" s="40"/>
      <c r="B125" s="40"/>
      <c r="C125" s="40"/>
      <c r="D125" s="40"/>
      <c r="E125" s="40"/>
      <c r="F125" s="40"/>
      <c r="G125" s="40"/>
      <c r="H125" s="40"/>
      <c r="I125" s="40"/>
      <c r="J125" s="40"/>
      <c r="K125" s="40"/>
      <c r="L125" s="40"/>
      <c r="M125" s="40"/>
    </row>
    <row r="126" spans="1:13">
      <c r="A126" s="40"/>
      <c r="B126" s="40"/>
      <c r="C126" s="40"/>
      <c r="D126" s="40"/>
      <c r="E126" s="40"/>
      <c r="F126" s="40"/>
      <c r="G126" s="40"/>
      <c r="H126" s="40"/>
      <c r="I126" s="40"/>
      <c r="J126" s="40"/>
      <c r="K126" s="40"/>
      <c r="L126" s="40"/>
      <c r="M126" s="40"/>
    </row>
    <row r="127" spans="1:13">
      <c r="A127" s="40"/>
      <c r="B127" s="40"/>
      <c r="C127" s="40"/>
      <c r="D127" s="40"/>
      <c r="E127" s="40"/>
      <c r="F127" s="40"/>
      <c r="G127" s="40"/>
      <c r="H127" s="40"/>
      <c r="I127" s="40"/>
      <c r="J127" s="40"/>
      <c r="K127" s="40"/>
      <c r="L127" s="40"/>
      <c r="M127" s="40"/>
    </row>
    <row r="128" spans="1:13">
      <c r="A128" s="40"/>
      <c r="B128" s="40"/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</row>
    <row r="129" spans="1:13">
      <c r="A129" s="40"/>
      <c r="B129" s="40"/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</row>
    <row r="130" spans="1:13">
      <c r="A130" s="40"/>
      <c r="B130" s="40"/>
      <c r="C130" s="40"/>
      <c r="D130" s="40"/>
      <c r="E130" s="40"/>
      <c r="F130" s="40"/>
      <c r="G130" s="40"/>
      <c r="H130" s="40"/>
      <c r="I130" s="40"/>
      <c r="J130" s="40"/>
      <c r="K130" s="40"/>
      <c r="L130" s="40"/>
      <c r="M130" s="40"/>
    </row>
    <row r="131" spans="1:13">
      <c r="A131" s="40"/>
      <c r="B131" s="40"/>
      <c r="C131" s="40"/>
      <c r="D131" s="40"/>
      <c r="E131" s="40"/>
      <c r="F131" s="40"/>
      <c r="G131" s="40"/>
      <c r="H131" s="40"/>
      <c r="I131" s="40"/>
      <c r="J131" s="40"/>
      <c r="K131" s="40"/>
      <c r="L131" s="40"/>
      <c r="M131" s="40"/>
    </row>
    <row r="132" spans="1:13">
      <c r="A132" s="40"/>
      <c r="B132" s="40"/>
      <c r="C132" s="40"/>
      <c r="D132" s="40"/>
      <c r="E132" s="40"/>
      <c r="F132" s="40"/>
      <c r="G132" s="40"/>
      <c r="H132" s="40"/>
      <c r="I132" s="40"/>
      <c r="J132" s="40"/>
      <c r="K132" s="40"/>
      <c r="L132" s="40"/>
      <c r="M132" s="40"/>
    </row>
    <row r="133" spans="1:13">
      <c r="A133" s="40"/>
      <c r="B133" s="40"/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</row>
    <row r="134" spans="1:13">
      <c r="A134" s="40"/>
      <c r="B134" s="40"/>
      <c r="C134" s="40"/>
      <c r="D134" s="40"/>
      <c r="E134" s="40"/>
      <c r="F134" s="40"/>
      <c r="G134" s="40"/>
      <c r="H134" s="40"/>
      <c r="I134" s="40"/>
      <c r="J134" s="40"/>
      <c r="K134" s="40"/>
      <c r="L134" s="40"/>
      <c r="M134" s="40"/>
    </row>
    <row r="135" spans="1:13">
      <c r="A135" s="40"/>
      <c r="B135" s="40"/>
      <c r="C135" s="40"/>
      <c r="D135" s="40"/>
      <c r="E135" s="40"/>
      <c r="F135" s="40"/>
      <c r="G135" s="40"/>
      <c r="H135" s="40"/>
      <c r="I135" s="40"/>
      <c r="J135" s="40"/>
      <c r="K135" s="40"/>
      <c r="L135" s="40"/>
      <c r="M135" s="40"/>
    </row>
    <row r="136" spans="1:13">
      <c r="A136" s="40"/>
      <c r="B136" s="40"/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</row>
    <row r="137" spans="1:13">
      <c r="A137" s="40"/>
      <c r="B137" s="40"/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</row>
    <row r="138" spans="1:13">
      <c r="A138" s="40"/>
      <c r="B138" s="40"/>
      <c r="C138" s="40"/>
      <c r="D138" s="40"/>
      <c r="E138" s="40"/>
      <c r="F138" s="40"/>
      <c r="G138" s="40"/>
      <c r="H138" s="40"/>
      <c r="I138" s="40"/>
      <c r="J138" s="40"/>
      <c r="K138" s="40"/>
      <c r="L138" s="40"/>
      <c r="M138" s="40"/>
    </row>
    <row r="139" spans="1:13">
      <c r="A139" s="40"/>
      <c r="B139" s="40"/>
      <c r="C139" s="40"/>
      <c r="D139" s="40"/>
      <c r="E139" s="40"/>
      <c r="F139" s="40"/>
      <c r="G139" s="40"/>
      <c r="H139" s="40"/>
      <c r="I139" s="40"/>
      <c r="J139" s="40"/>
      <c r="K139" s="40"/>
      <c r="L139" s="40"/>
      <c r="M139" s="40"/>
    </row>
    <row r="140" spans="1:13">
      <c r="A140" s="40"/>
      <c r="B140" s="40"/>
      <c r="C140" s="40"/>
      <c r="D140" s="40"/>
      <c r="E140" s="40"/>
      <c r="F140" s="40"/>
      <c r="G140" s="40"/>
      <c r="H140" s="40"/>
      <c r="I140" s="40"/>
      <c r="J140" s="40"/>
      <c r="K140" s="40"/>
      <c r="L140" s="40"/>
      <c r="M140" s="40"/>
    </row>
    <row r="141" spans="1:13">
      <c r="A141" s="40"/>
      <c r="B141" s="40"/>
      <c r="C141" s="40"/>
      <c r="D141" s="40"/>
      <c r="E141" s="40"/>
      <c r="F141" s="40"/>
      <c r="G141" s="40"/>
      <c r="H141" s="40"/>
      <c r="I141" s="40"/>
      <c r="J141" s="40"/>
      <c r="K141" s="40"/>
      <c r="L141" s="40"/>
      <c r="M141" s="40"/>
    </row>
    <row r="142" spans="1:13">
      <c r="A142" s="40"/>
      <c r="B142" s="40"/>
      <c r="C142" s="40"/>
      <c r="D142" s="40"/>
      <c r="E142" s="40"/>
      <c r="F142" s="40"/>
      <c r="G142" s="40"/>
      <c r="H142" s="40"/>
      <c r="I142" s="40"/>
      <c r="J142" s="40"/>
      <c r="K142" s="40"/>
      <c r="L142" s="40"/>
      <c r="M142" s="40"/>
    </row>
    <row r="143" spans="1:13">
      <c r="A143" s="40"/>
      <c r="B143" s="40"/>
      <c r="C143" s="40"/>
      <c r="D143" s="40"/>
      <c r="E143" s="40"/>
      <c r="F143" s="40"/>
      <c r="G143" s="40"/>
      <c r="H143" s="40"/>
      <c r="I143" s="40"/>
      <c r="J143" s="40"/>
      <c r="K143" s="40"/>
      <c r="L143" s="40"/>
      <c r="M143" s="40"/>
    </row>
    <row r="144" spans="1:13">
      <c r="A144" s="40"/>
      <c r="B144" s="40"/>
      <c r="C144" s="40"/>
      <c r="D144" s="40"/>
      <c r="E144" s="40"/>
      <c r="F144" s="40"/>
      <c r="G144" s="40"/>
      <c r="H144" s="40"/>
      <c r="I144" s="40"/>
      <c r="J144" s="40"/>
      <c r="K144" s="40"/>
      <c r="L144" s="40"/>
      <c r="M144" s="40"/>
    </row>
    <row r="145" spans="1:13">
      <c r="A145" s="40"/>
      <c r="B145" s="40"/>
      <c r="C145" s="40"/>
      <c r="D145" s="40"/>
      <c r="E145" s="40"/>
      <c r="F145" s="40"/>
      <c r="G145" s="40"/>
      <c r="H145" s="40"/>
      <c r="I145" s="40"/>
      <c r="J145" s="40"/>
      <c r="K145" s="40"/>
      <c r="L145" s="40"/>
      <c r="M145" s="40"/>
    </row>
    <row r="146" spans="1:13">
      <c r="A146" s="40"/>
      <c r="B146" s="40"/>
      <c r="C146" s="40"/>
      <c r="D146" s="40"/>
      <c r="E146" s="40"/>
      <c r="F146" s="40"/>
      <c r="G146" s="40"/>
      <c r="H146" s="40"/>
      <c r="I146" s="40"/>
      <c r="J146" s="40"/>
      <c r="K146" s="40"/>
      <c r="L146" s="40"/>
      <c r="M146" s="40"/>
    </row>
    <row r="147" spans="1:13">
      <c r="A147" s="40"/>
      <c r="B147" s="40"/>
      <c r="C147" s="40"/>
      <c r="D147" s="40"/>
      <c r="E147" s="40"/>
      <c r="F147" s="40"/>
      <c r="G147" s="40"/>
      <c r="H147" s="40"/>
      <c r="I147" s="40"/>
      <c r="J147" s="40"/>
      <c r="K147" s="40"/>
      <c r="L147" s="40"/>
      <c r="M147" s="40"/>
    </row>
    <row r="148" spans="1:13">
      <c r="A148" s="40"/>
      <c r="B148" s="40"/>
      <c r="C148" s="40"/>
      <c r="D148" s="40"/>
      <c r="E148" s="40"/>
      <c r="F148" s="40"/>
      <c r="G148" s="40"/>
      <c r="H148" s="40"/>
      <c r="I148" s="40"/>
      <c r="J148" s="40"/>
      <c r="K148" s="40"/>
      <c r="L148" s="40"/>
      <c r="M148" s="40"/>
    </row>
    <row r="149" spans="1:13">
      <c r="A149" s="40"/>
      <c r="B149" s="40"/>
      <c r="C149" s="40"/>
      <c r="D149" s="40"/>
      <c r="E149" s="40"/>
      <c r="F149" s="40"/>
      <c r="G149" s="40"/>
      <c r="H149" s="40"/>
      <c r="I149" s="40"/>
      <c r="J149" s="40"/>
      <c r="K149" s="40"/>
      <c r="L149" s="40"/>
      <c r="M149" s="40"/>
    </row>
    <row r="150" spans="1:13">
      <c r="A150" s="40"/>
      <c r="B150" s="40"/>
      <c r="C150" s="40"/>
      <c r="D150" s="40"/>
      <c r="E150" s="40"/>
      <c r="F150" s="40"/>
      <c r="G150" s="40"/>
      <c r="H150" s="40"/>
      <c r="I150" s="40"/>
      <c r="J150" s="40"/>
      <c r="K150" s="40"/>
      <c r="L150" s="40"/>
      <c r="M150" s="40"/>
    </row>
    <row r="151" spans="1:13">
      <c r="A151" s="40"/>
      <c r="B151" s="40"/>
      <c r="C151" s="40"/>
      <c r="D151" s="40"/>
      <c r="E151" s="40"/>
      <c r="F151" s="40"/>
      <c r="G151" s="40"/>
      <c r="H151" s="40"/>
      <c r="I151" s="40"/>
      <c r="J151" s="40"/>
      <c r="K151" s="40"/>
      <c r="L151" s="40"/>
      <c r="M151" s="40"/>
    </row>
    <row r="152" spans="1:13">
      <c r="A152" s="40"/>
      <c r="B152" s="40"/>
      <c r="C152" s="40"/>
      <c r="D152" s="40"/>
      <c r="E152" s="40"/>
      <c r="F152" s="40"/>
      <c r="G152" s="40"/>
      <c r="H152" s="40"/>
      <c r="I152" s="40"/>
      <c r="J152" s="40"/>
      <c r="K152" s="40"/>
      <c r="L152" s="40"/>
      <c r="M152" s="40"/>
    </row>
    <row r="153" spans="1:13">
      <c r="A153" s="40"/>
      <c r="B153" s="40"/>
      <c r="C153" s="40"/>
      <c r="D153" s="40"/>
      <c r="E153" s="40"/>
      <c r="F153" s="40"/>
      <c r="G153" s="40"/>
      <c r="H153" s="40"/>
      <c r="I153" s="40"/>
      <c r="J153" s="40"/>
      <c r="K153" s="40"/>
      <c r="L153" s="40"/>
      <c r="M153" s="40"/>
    </row>
    <row r="154" spans="1:13">
      <c r="A154" s="40"/>
      <c r="B154" s="40"/>
      <c r="C154" s="40"/>
      <c r="D154" s="40"/>
      <c r="E154" s="40"/>
      <c r="F154" s="40"/>
      <c r="G154" s="40"/>
      <c r="H154" s="40"/>
      <c r="I154" s="40"/>
      <c r="J154" s="40"/>
      <c r="K154" s="40"/>
      <c r="L154" s="40"/>
      <c r="M154" s="40"/>
    </row>
    <row r="155" spans="1:13">
      <c r="A155" s="40"/>
      <c r="B155" s="40"/>
      <c r="C155" s="40"/>
      <c r="D155" s="40"/>
      <c r="E155" s="40"/>
      <c r="F155" s="40"/>
      <c r="G155" s="40"/>
      <c r="H155" s="40"/>
      <c r="I155" s="40"/>
      <c r="J155" s="40"/>
      <c r="K155" s="40"/>
      <c r="L155" s="40"/>
      <c r="M155" s="40"/>
    </row>
    <row r="156" spans="1:13">
      <c r="A156" s="40"/>
      <c r="B156" s="40"/>
      <c r="C156" s="40"/>
      <c r="D156" s="40"/>
      <c r="E156" s="40"/>
      <c r="F156" s="40"/>
      <c r="G156" s="40"/>
      <c r="H156" s="40"/>
      <c r="I156" s="40"/>
      <c r="J156" s="40"/>
      <c r="K156" s="40"/>
      <c r="L156" s="40"/>
      <c r="M156" s="40"/>
    </row>
    <row r="157" spans="1:13">
      <c r="A157" s="40"/>
      <c r="B157" s="40"/>
      <c r="C157" s="40"/>
      <c r="D157" s="40"/>
      <c r="E157" s="40"/>
      <c r="F157" s="40"/>
      <c r="G157" s="40"/>
      <c r="H157" s="40"/>
      <c r="I157" s="40"/>
      <c r="J157" s="40"/>
      <c r="K157" s="40"/>
      <c r="L157" s="40"/>
      <c r="M157" s="40"/>
    </row>
    <row r="158" spans="1:13">
      <c r="A158" s="40"/>
      <c r="B158" s="40"/>
      <c r="C158" s="40"/>
      <c r="D158" s="40"/>
      <c r="E158" s="40"/>
      <c r="F158" s="40"/>
      <c r="G158" s="40"/>
      <c r="H158" s="40"/>
      <c r="I158" s="40"/>
      <c r="J158" s="40"/>
      <c r="K158" s="40"/>
      <c r="L158" s="40"/>
      <c r="M158" s="40"/>
    </row>
    <row r="159" spans="1:13">
      <c r="A159" s="40"/>
      <c r="B159" s="40"/>
      <c r="C159" s="40"/>
      <c r="D159" s="40"/>
      <c r="E159" s="40"/>
      <c r="F159" s="40"/>
      <c r="G159" s="40"/>
      <c r="H159" s="40"/>
      <c r="I159" s="40"/>
      <c r="J159" s="40"/>
      <c r="K159" s="40"/>
      <c r="L159" s="40"/>
      <c r="M159" s="40"/>
    </row>
    <row r="160" spans="1:13">
      <c r="A160" s="40"/>
      <c r="B160" s="40"/>
      <c r="C160" s="40"/>
      <c r="D160" s="40"/>
      <c r="E160" s="40"/>
      <c r="F160" s="40"/>
      <c r="G160" s="40"/>
      <c r="H160" s="40"/>
      <c r="I160" s="40"/>
      <c r="J160" s="40"/>
      <c r="K160" s="40"/>
      <c r="L160" s="40"/>
      <c r="M160" s="40"/>
    </row>
    <row r="161" spans="1:13">
      <c r="A161" s="40"/>
      <c r="B161" s="40"/>
      <c r="C161" s="40"/>
      <c r="D161" s="40"/>
      <c r="E161" s="40"/>
      <c r="F161" s="40"/>
      <c r="G161" s="40"/>
      <c r="H161" s="40"/>
      <c r="I161" s="40"/>
      <c r="J161" s="40"/>
      <c r="K161" s="40"/>
      <c r="L161" s="40"/>
      <c r="M161" s="40"/>
    </row>
    <row r="162" spans="1:13">
      <c r="A162" s="40"/>
      <c r="B162" s="40"/>
      <c r="C162" s="40"/>
      <c r="D162" s="40"/>
      <c r="E162" s="40"/>
      <c r="F162" s="40"/>
      <c r="G162" s="40"/>
      <c r="H162" s="40"/>
      <c r="I162" s="40"/>
      <c r="J162" s="40"/>
      <c r="K162" s="40"/>
      <c r="L162" s="40"/>
      <c r="M162" s="40"/>
    </row>
    <row r="163" spans="1:13">
      <c r="A163" s="40"/>
      <c r="B163" s="40"/>
      <c r="C163" s="40"/>
      <c r="D163" s="40"/>
      <c r="E163" s="40"/>
      <c r="F163" s="40"/>
      <c r="G163" s="40"/>
      <c r="H163" s="40"/>
      <c r="I163" s="40"/>
      <c r="J163" s="40"/>
      <c r="K163" s="40"/>
      <c r="L163" s="40"/>
      <c r="M163" s="40"/>
    </row>
    <row r="164" spans="1:13">
      <c r="A164" s="40"/>
      <c r="B164" s="40"/>
      <c r="C164" s="40"/>
      <c r="D164" s="40"/>
      <c r="E164" s="40"/>
      <c r="F164" s="40"/>
      <c r="G164" s="40"/>
      <c r="H164" s="40"/>
      <c r="I164" s="40"/>
      <c r="J164" s="40"/>
      <c r="K164" s="40"/>
      <c r="L164" s="40"/>
      <c r="M164" s="40"/>
    </row>
    <row r="165" spans="1:13">
      <c r="A165" s="40"/>
      <c r="B165" s="40"/>
      <c r="C165" s="40"/>
      <c r="D165" s="40"/>
      <c r="E165" s="40"/>
      <c r="F165" s="40"/>
      <c r="G165" s="40"/>
      <c r="H165" s="40"/>
      <c r="I165" s="40"/>
      <c r="J165" s="40"/>
      <c r="K165" s="40"/>
      <c r="L165" s="40"/>
      <c r="M165" s="40"/>
    </row>
    <row r="166" spans="1:13">
      <c r="A166" s="40"/>
      <c r="B166" s="40"/>
      <c r="C166" s="40"/>
      <c r="D166" s="40"/>
      <c r="E166" s="40"/>
      <c r="F166" s="40"/>
      <c r="G166" s="40"/>
      <c r="H166" s="40"/>
      <c r="I166" s="40"/>
      <c r="J166" s="40"/>
      <c r="K166" s="40"/>
      <c r="L166" s="40"/>
      <c r="M166" s="40"/>
    </row>
    <row r="167" spans="1:13">
      <c r="A167" s="40"/>
      <c r="B167" s="40"/>
      <c r="C167" s="40"/>
      <c r="D167" s="40"/>
      <c r="E167" s="40"/>
      <c r="F167" s="40"/>
      <c r="G167" s="40"/>
      <c r="H167" s="40"/>
      <c r="I167" s="40"/>
      <c r="J167" s="40"/>
      <c r="K167" s="40"/>
      <c r="L167" s="40"/>
      <c r="M167" s="40"/>
    </row>
    <row r="168" spans="1:13">
      <c r="A168" s="40"/>
      <c r="B168" s="40"/>
      <c r="C168" s="40"/>
      <c r="D168" s="40"/>
      <c r="E168" s="40"/>
      <c r="F168" s="40"/>
      <c r="G168" s="40"/>
      <c r="H168" s="40"/>
      <c r="I168" s="40"/>
      <c r="J168" s="40"/>
      <c r="K168" s="40"/>
      <c r="L168" s="40"/>
      <c r="M168" s="40"/>
    </row>
    <row r="169" spans="1:13">
      <c r="A169" s="40"/>
      <c r="B169" s="40"/>
      <c r="C169" s="40"/>
      <c r="D169" s="40"/>
      <c r="E169" s="40"/>
      <c r="F169" s="40"/>
      <c r="G169" s="40"/>
      <c r="H169" s="40"/>
      <c r="I169" s="40"/>
      <c r="J169" s="40"/>
      <c r="K169" s="40"/>
      <c r="L169" s="40"/>
      <c r="M169" s="40"/>
    </row>
    <row r="170" spans="1:13">
      <c r="A170" s="40"/>
      <c r="B170" s="40"/>
      <c r="C170" s="40"/>
      <c r="D170" s="40"/>
      <c r="E170" s="40"/>
      <c r="F170" s="40"/>
      <c r="G170" s="40"/>
      <c r="H170" s="40"/>
      <c r="I170" s="40"/>
      <c r="J170" s="40"/>
      <c r="K170" s="40"/>
      <c r="L170" s="40"/>
      <c r="M170" s="40"/>
    </row>
    <row r="171" spans="1:13">
      <c r="A171" s="40"/>
      <c r="B171" s="40"/>
      <c r="C171" s="40"/>
      <c r="D171" s="40"/>
      <c r="E171" s="40"/>
      <c r="F171" s="40"/>
      <c r="G171" s="40"/>
      <c r="H171" s="40"/>
      <c r="I171" s="40"/>
      <c r="J171" s="40"/>
      <c r="K171" s="40"/>
      <c r="L171" s="40"/>
      <c r="M171" s="40"/>
    </row>
    <row r="172" spans="1:13">
      <c r="A172" s="40"/>
      <c r="B172" s="40"/>
      <c r="C172" s="40"/>
      <c r="D172" s="40"/>
      <c r="E172" s="40"/>
      <c r="F172" s="40"/>
      <c r="G172" s="40"/>
      <c r="H172" s="40"/>
      <c r="I172" s="40"/>
      <c r="J172" s="40"/>
      <c r="K172" s="40"/>
      <c r="L172" s="40"/>
      <c r="M172" s="40"/>
    </row>
    <row r="173" spans="1:13">
      <c r="A173" s="40"/>
      <c r="B173" s="40"/>
      <c r="C173" s="40"/>
      <c r="D173" s="40"/>
      <c r="E173" s="40"/>
      <c r="F173" s="40"/>
      <c r="G173" s="40"/>
      <c r="H173" s="40"/>
      <c r="I173" s="40"/>
      <c r="J173" s="40"/>
      <c r="K173" s="40"/>
      <c r="L173" s="40"/>
      <c r="M173" s="40"/>
    </row>
    <row r="174" spans="1:13">
      <c r="A174" s="40"/>
      <c r="B174" s="40"/>
      <c r="C174" s="40"/>
      <c r="D174" s="40"/>
      <c r="E174" s="40"/>
      <c r="F174" s="40"/>
      <c r="G174" s="40"/>
      <c r="H174" s="40"/>
      <c r="I174" s="40"/>
      <c r="J174" s="40"/>
      <c r="K174" s="40"/>
      <c r="L174" s="40"/>
      <c r="M174" s="40"/>
    </row>
    <row r="175" spans="1:13">
      <c r="A175" s="40"/>
      <c r="B175" s="40"/>
      <c r="C175" s="40"/>
      <c r="D175" s="40"/>
      <c r="E175" s="40"/>
      <c r="F175" s="40"/>
      <c r="G175" s="40"/>
      <c r="H175" s="40"/>
      <c r="I175" s="40"/>
      <c r="J175" s="40"/>
      <c r="K175" s="40"/>
      <c r="L175" s="40"/>
      <c r="M175" s="40"/>
    </row>
    <row r="176" spans="1:13">
      <c r="A176" s="40"/>
      <c r="B176" s="40"/>
      <c r="C176" s="40"/>
      <c r="D176" s="40"/>
      <c r="E176" s="40"/>
      <c r="F176" s="40"/>
      <c r="G176" s="40"/>
      <c r="H176" s="40"/>
      <c r="I176" s="40"/>
      <c r="J176" s="40"/>
      <c r="K176" s="40"/>
      <c r="L176" s="40"/>
      <c r="M176" s="40"/>
    </row>
    <row r="177" spans="1:13">
      <c r="A177" s="40"/>
      <c r="B177" s="40"/>
      <c r="C177" s="40"/>
      <c r="D177" s="40"/>
      <c r="E177" s="40"/>
      <c r="F177" s="40"/>
      <c r="G177" s="40"/>
      <c r="H177" s="40"/>
      <c r="I177" s="40"/>
      <c r="J177" s="40"/>
      <c r="K177" s="40"/>
      <c r="L177" s="40"/>
      <c r="M177" s="40"/>
    </row>
    <row r="178" spans="1:13">
      <c r="A178" s="40"/>
      <c r="B178" s="40"/>
      <c r="C178" s="40"/>
      <c r="D178" s="40"/>
      <c r="E178" s="40"/>
      <c r="F178" s="40"/>
      <c r="G178" s="40"/>
      <c r="H178" s="40"/>
      <c r="I178" s="40"/>
      <c r="J178" s="40"/>
      <c r="K178" s="40"/>
      <c r="L178" s="40"/>
      <c r="M178" s="40"/>
    </row>
  </sheetData>
  <mergeCells count="12">
    <mergeCell ref="A9:M9"/>
    <mergeCell ref="A35:M35"/>
    <mergeCell ref="A3:A7"/>
    <mergeCell ref="B3:M3"/>
    <mergeCell ref="B4:C4"/>
    <mergeCell ref="D4:E4"/>
    <mergeCell ref="F4:G4"/>
    <mergeCell ref="H4:I4"/>
    <mergeCell ref="J4:K4"/>
    <mergeCell ref="L4:M4"/>
    <mergeCell ref="B5:M5"/>
    <mergeCell ref="B7:M7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7"/>
  <dimension ref="A1:H178"/>
  <sheetViews>
    <sheetView topLeftCell="A26" workbookViewId="0">
      <selection activeCell="A34" sqref="A34:XFD34"/>
    </sheetView>
  </sheetViews>
  <sheetFormatPr defaultRowHeight="15"/>
  <cols>
    <col min="1" max="1" width="9.42578125" style="39" bestFit="1" customWidth="1"/>
    <col min="2" max="3" width="10.5703125" style="39" bestFit="1" customWidth="1"/>
    <col min="4" max="4" width="11.140625" style="39" bestFit="1" customWidth="1"/>
    <col min="5" max="5" width="10.5703125" style="39" bestFit="1" customWidth="1"/>
    <col min="6" max="6" width="11.28515625" style="39" bestFit="1" customWidth="1"/>
    <col min="7" max="7" width="10.140625" style="39" bestFit="1" customWidth="1"/>
    <col min="8" max="8" width="7.85546875" style="39" bestFit="1" customWidth="1"/>
    <col min="9" max="16384" width="9.140625" style="39"/>
  </cols>
  <sheetData>
    <row r="1" spans="1:8">
      <c r="A1" s="92" t="s">
        <v>182</v>
      </c>
      <c r="B1" s="78" t="s">
        <v>161</v>
      </c>
      <c r="C1" s="78"/>
      <c r="D1" s="78"/>
      <c r="E1" s="78"/>
      <c r="F1" s="78"/>
      <c r="G1" s="78"/>
      <c r="H1" s="78"/>
    </row>
    <row r="2" spans="1:8">
      <c r="A2" s="79"/>
      <c r="B2" s="77" t="s">
        <v>170</v>
      </c>
      <c r="C2" s="78"/>
      <c r="D2" s="80" t="s">
        <v>169</v>
      </c>
      <c r="E2" s="81"/>
      <c r="F2" s="81"/>
      <c r="G2" s="81"/>
      <c r="H2" s="82"/>
    </row>
    <row r="3" spans="1:8" ht="33" customHeight="1">
      <c r="A3" s="79"/>
      <c r="B3" s="86" t="s">
        <v>178</v>
      </c>
      <c r="C3" s="89" t="s">
        <v>179</v>
      </c>
      <c r="D3" s="86" t="s">
        <v>180</v>
      </c>
      <c r="E3" s="93" t="s">
        <v>181</v>
      </c>
      <c r="F3" s="83" t="s">
        <v>183</v>
      </c>
      <c r="G3" s="84"/>
      <c r="H3" s="85"/>
    </row>
    <row r="4" spans="1:8">
      <c r="A4" s="79"/>
      <c r="B4" s="87"/>
      <c r="C4" s="90"/>
      <c r="D4" s="87"/>
      <c r="E4" s="72"/>
      <c r="F4" s="95" t="s">
        <v>174</v>
      </c>
      <c r="G4" s="97" t="s">
        <v>175</v>
      </c>
      <c r="H4" s="98"/>
    </row>
    <row r="5" spans="1:8">
      <c r="A5" s="79"/>
      <c r="B5" s="88"/>
      <c r="C5" s="91"/>
      <c r="D5" s="88"/>
      <c r="E5" s="94"/>
      <c r="F5" s="96"/>
      <c r="G5" s="45" t="s">
        <v>176</v>
      </c>
      <c r="H5" s="46" t="s">
        <v>177</v>
      </c>
    </row>
    <row r="6" spans="1:8">
      <c r="A6" s="79"/>
      <c r="B6" s="40" t="s">
        <v>171</v>
      </c>
      <c r="C6" s="40" t="s">
        <v>171</v>
      </c>
      <c r="D6" s="40" t="s">
        <v>172</v>
      </c>
      <c r="E6" s="40" t="s">
        <v>172</v>
      </c>
      <c r="F6" s="40" t="s">
        <v>172</v>
      </c>
      <c r="G6" s="40" t="s">
        <v>173</v>
      </c>
      <c r="H6" s="40" t="s">
        <v>173</v>
      </c>
    </row>
    <row r="7" spans="1:8">
      <c r="A7" s="79"/>
      <c r="B7" s="78"/>
      <c r="C7" s="78"/>
      <c r="D7" s="78"/>
      <c r="E7" s="78"/>
      <c r="F7" s="78"/>
      <c r="G7" s="78"/>
      <c r="H7" s="78"/>
    </row>
    <row r="8" spans="1:8" s="42" customFormat="1">
      <c r="A8" s="20">
        <v>1</v>
      </c>
      <c r="B8" s="20">
        <v>2</v>
      </c>
      <c r="C8" s="20">
        <v>3</v>
      </c>
      <c r="D8" s="20">
        <v>4</v>
      </c>
      <c r="E8" s="20">
        <v>5</v>
      </c>
      <c r="F8" s="20">
        <v>6</v>
      </c>
      <c r="G8" s="20">
        <v>7</v>
      </c>
      <c r="H8" s="20">
        <v>8</v>
      </c>
    </row>
    <row r="9" spans="1:8">
      <c r="A9" s="78" t="s">
        <v>129</v>
      </c>
      <c r="B9" s="78"/>
      <c r="C9" s="78"/>
      <c r="D9" s="78"/>
      <c r="E9" s="78"/>
      <c r="F9" s="78"/>
      <c r="G9" s="78"/>
      <c r="H9" s="78"/>
    </row>
    <row r="10" spans="1:8">
      <c r="A10" s="43">
        <v>0.5</v>
      </c>
      <c r="B10" s="43">
        <v>11</v>
      </c>
      <c r="C10" s="43">
        <v>9</v>
      </c>
      <c r="D10" s="43">
        <v>11</v>
      </c>
      <c r="E10" s="43">
        <v>8</v>
      </c>
      <c r="F10" s="43">
        <v>9</v>
      </c>
      <c r="G10" s="43">
        <v>12</v>
      </c>
      <c r="H10" s="43">
        <v>10</v>
      </c>
    </row>
    <row r="11" spans="1:8">
      <c r="A11" s="43">
        <v>0.75</v>
      </c>
      <c r="B11" s="43">
        <v>14</v>
      </c>
      <c r="C11" s="43">
        <v>12</v>
      </c>
      <c r="D11" s="43">
        <v>14</v>
      </c>
      <c r="E11" s="43">
        <v>11</v>
      </c>
      <c r="F11" s="43">
        <v>11</v>
      </c>
      <c r="G11" s="43">
        <v>16</v>
      </c>
      <c r="H11" s="43">
        <v>13</v>
      </c>
    </row>
    <row r="12" spans="1:8">
      <c r="A12" s="44">
        <v>1</v>
      </c>
      <c r="B12" s="44">
        <v>17</v>
      </c>
      <c r="C12" s="44">
        <v>14</v>
      </c>
      <c r="D12" s="44">
        <v>17</v>
      </c>
      <c r="E12" s="44">
        <v>13</v>
      </c>
      <c r="F12" s="44">
        <v>14</v>
      </c>
      <c r="G12" s="44">
        <v>19</v>
      </c>
      <c r="H12" s="44">
        <v>16</v>
      </c>
    </row>
    <row r="13" spans="1:8">
      <c r="A13" s="43">
        <v>1.5</v>
      </c>
      <c r="B13" s="43">
        <v>22</v>
      </c>
      <c r="C13" s="43">
        <v>18.5</v>
      </c>
      <c r="D13" s="43">
        <v>22</v>
      </c>
      <c r="E13" s="43">
        <v>17</v>
      </c>
      <c r="F13" s="43">
        <v>18</v>
      </c>
      <c r="G13" s="43">
        <v>24</v>
      </c>
      <c r="H13" s="43">
        <v>21</v>
      </c>
    </row>
    <row r="14" spans="1:8">
      <c r="A14" s="43">
        <v>2.5</v>
      </c>
      <c r="B14" s="43">
        <v>30</v>
      </c>
      <c r="C14" s="43">
        <v>25</v>
      </c>
      <c r="D14" s="43">
        <v>31</v>
      </c>
      <c r="E14" s="43">
        <v>24</v>
      </c>
      <c r="F14" s="43">
        <v>25</v>
      </c>
      <c r="G14" s="43">
        <v>34</v>
      </c>
      <c r="H14" s="43">
        <v>29</v>
      </c>
    </row>
    <row r="15" spans="1:8">
      <c r="A15" s="44">
        <v>4</v>
      </c>
      <c r="B15" s="44">
        <v>40</v>
      </c>
      <c r="C15" s="44">
        <v>34</v>
      </c>
      <c r="D15" s="44">
        <v>41</v>
      </c>
      <c r="E15" s="44">
        <v>24</v>
      </c>
      <c r="F15" s="44">
        <v>25</v>
      </c>
      <c r="G15" s="44">
        <v>34</v>
      </c>
      <c r="H15" s="44">
        <v>29</v>
      </c>
    </row>
    <row r="16" spans="1:8">
      <c r="A16" s="44">
        <v>6</v>
      </c>
      <c r="B16" s="44">
        <v>51</v>
      </c>
      <c r="C16" s="44">
        <v>43</v>
      </c>
      <c r="D16" s="44">
        <v>53</v>
      </c>
      <c r="E16" s="44">
        <v>43</v>
      </c>
      <c r="F16" s="44">
        <v>45</v>
      </c>
      <c r="G16" s="44">
        <v>59</v>
      </c>
      <c r="H16" s="44">
        <v>51</v>
      </c>
    </row>
    <row r="17" spans="1:8">
      <c r="A17" s="44">
        <v>10</v>
      </c>
      <c r="B17" s="43">
        <v>70</v>
      </c>
      <c r="C17" s="43">
        <v>60</v>
      </c>
      <c r="D17" s="43">
        <v>73</v>
      </c>
      <c r="E17" s="43">
        <v>60</v>
      </c>
      <c r="F17" s="43">
        <v>63</v>
      </c>
      <c r="G17" s="43">
        <v>81</v>
      </c>
      <c r="H17" s="43">
        <v>71</v>
      </c>
    </row>
    <row r="18" spans="1:8">
      <c r="A18" s="44">
        <v>16</v>
      </c>
      <c r="B18" s="43">
        <v>94</v>
      </c>
      <c r="C18" s="43">
        <v>80</v>
      </c>
      <c r="D18" s="43">
        <v>99</v>
      </c>
      <c r="E18" s="43">
        <v>82</v>
      </c>
      <c r="F18" s="43">
        <v>85</v>
      </c>
      <c r="G18" s="43">
        <v>110</v>
      </c>
      <c r="H18" s="43">
        <v>97</v>
      </c>
    </row>
    <row r="19" spans="1:8">
      <c r="A19" s="43">
        <v>25</v>
      </c>
      <c r="B19" s="43">
        <v>119</v>
      </c>
      <c r="C19" s="43">
        <v>101</v>
      </c>
      <c r="D19" s="43">
        <v>131</v>
      </c>
      <c r="E19" s="43">
        <v>110</v>
      </c>
      <c r="F19" s="43">
        <v>114</v>
      </c>
      <c r="G19" s="43">
        <v>146</v>
      </c>
      <c r="H19" s="43">
        <v>130</v>
      </c>
    </row>
    <row r="20" spans="1:8">
      <c r="A20" s="43">
        <v>35</v>
      </c>
      <c r="B20" s="43">
        <v>148</v>
      </c>
      <c r="C20" s="43">
        <v>126</v>
      </c>
      <c r="D20" s="43">
        <v>162</v>
      </c>
      <c r="E20" s="43">
        <v>137</v>
      </c>
      <c r="F20" s="43">
        <v>143</v>
      </c>
      <c r="G20" s="43">
        <v>181</v>
      </c>
      <c r="H20" s="43">
        <v>162</v>
      </c>
    </row>
    <row r="21" spans="1:8">
      <c r="A21" s="43">
        <v>50</v>
      </c>
      <c r="B21" s="43">
        <v>180</v>
      </c>
      <c r="C21" s="43">
        <v>153</v>
      </c>
      <c r="D21" s="43">
        <v>196</v>
      </c>
      <c r="E21" s="43">
        <v>167</v>
      </c>
      <c r="F21" s="43">
        <v>174</v>
      </c>
      <c r="G21" s="43">
        <v>219</v>
      </c>
      <c r="H21" s="43">
        <v>197</v>
      </c>
    </row>
    <row r="22" spans="1:8">
      <c r="A22" s="43">
        <v>70</v>
      </c>
      <c r="B22" s="43">
        <v>232</v>
      </c>
      <c r="C22" s="43">
        <v>196</v>
      </c>
      <c r="D22" s="43">
        <v>251</v>
      </c>
      <c r="E22" s="43">
        <v>216</v>
      </c>
      <c r="F22" s="43">
        <v>225</v>
      </c>
      <c r="G22" s="43">
        <v>281</v>
      </c>
      <c r="H22" s="43">
        <v>254</v>
      </c>
    </row>
    <row r="23" spans="1:8">
      <c r="A23" s="43">
        <v>95</v>
      </c>
      <c r="B23" s="43">
        <v>282</v>
      </c>
      <c r="C23" s="43">
        <v>238</v>
      </c>
      <c r="D23" s="43">
        <v>304</v>
      </c>
      <c r="E23" s="43">
        <v>264</v>
      </c>
      <c r="F23" s="43">
        <v>275</v>
      </c>
      <c r="G23" s="43">
        <v>341</v>
      </c>
      <c r="H23" s="43">
        <v>311</v>
      </c>
    </row>
    <row r="24" spans="1:8">
      <c r="A24" s="43">
        <v>120</v>
      </c>
      <c r="B24" s="43">
        <v>328</v>
      </c>
      <c r="C24" s="43">
        <v>276</v>
      </c>
      <c r="D24" s="43">
        <v>352</v>
      </c>
      <c r="E24" s="43">
        <v>308</v>
      </c>
      <c r="F24" s="43">
        <v>312</v>
      </c>
      <c r="G24" s="43">
        <v>396</v>
      </c>
      <c r="H24" s="43">
        <v>362</v>
      </c>
    </row>
    <row r="25" spans="1:8">
      <c r="A25" s="43">
        <v>150</v>
      </c>
      <c r="B25" s="43">
        <v>379</v>
      </c>
      <c r="C25" s="43">
        <v>319</v>
      </c>
      <c r="D25" s="43">
        <v>406</v>
      </c>
      <c r="E25" s="43">
        <v>356</v>
      </c>
      <c r="F25" s="43">
        <v>372</v>
      </c>
      <c r="G25" s="43">
        <v>456</v>
      </c>
      <c r="H25" s="43">
        <v>419</v>
      </c>
    </row>
    <row r="26" spans="1:8">
      <c r="A26" s="43">
        <v>185</v>
      </c>
      <c r="B26" s="43">
        <v>434</v>
      </c>
      <c r="C26" s="43">
        <v>364</v>
      </c>
      <c r="D26" s="43">
        <v>463</v>
      </c>
      <c r="E26" s="43">
        <v>409</v>
      </c>
      <c r="F26" s="43">
        <v>427</v>
      </c>
      <c r="G26" s="43">
        <v>521</v>
      </c>
      <c r="H26" s="43">
        <v>480</v>
      </c>
    </row>
    <row r="27" spans="1:8">
      <c r="A27" s="43">
        <v>240</v>
      </c>
      <c r="B27" s="43">
        <v>514</v>
      </c>
      <c r="C27" s="43">
        <v>430</v>
      </c>
      <c r="D27" s="43">
        <v>546</v>
      </c>
      <c r="E27" s="43">
        <v>485</v>
      </c>
      <c r="F27" s="43">
        <v>507</v>
      </c>
      <c r="G27" s="43">
        <v>615</v>
      </c>
      <c r="H27" s="43">
        <v>569</v>
      </c>
    </row>
    <row r="28" spans="1:8">
      <c r="A28" s="43">
        <v>300</v>
      </c>
      <c r="B28" s="43">
        <v>593</v>
      </c>
      <c r="C28" s="43">
        <v>497</v>
      </c>
      <c r="D28" s="43">
        <v>629</v>
      </c>
      <c r="E28" s="43">
        <v>561</v>
      </c>
      <c r="F28" s="43">
        <v>587</v>
      </c>
      <c r="G28" s="43">
        <v>709</v>
      </c>
      <c r="H28" s="43">
        <v>659</v>
      </c>
    </row>
    <row r="29" spans="1:8">
      <c r="A29" s="43">
        <v>400</v>
      </c>
      <c r="B29" s="43">
        <v>715</v>
      </c>
      <c r="C29" s="43">
        <v>597</v>
      </c>
      <c r="D29" s="43">
        <v>754</v>
      </c>
      <c r="E29" s="43">
        <v>656</v>
      </c>
      <c r="F29" s="43">
        <v>689</v>
      </c>
      <c r="G29" s="43">
        <v>852</v>
      </c>
      <c r="H29" s="43">
        <v>795</v>
      </c>
    </row>
    <row r="30" spans="1:8">
      <c r="A30" s="43">
        <v>500</v>
      </c>
      <c r="B30" s="43">
        <v>826</v>
      </c>
      <c r="C30" s="43">
        <v>689</v>
      </c>
      <c r="D30" s="43">
        <v>868</v>
      </c>
      <c r="E30" s="43">
        <v>749</v>
      </c>
      <c r="F30" s="43">
        <v>789</v>
      </c>
      <c r="G30" s="43">
        <v>982</v>
      </c>
      <c r="H30" s="43">
        <v>920</v>
      </c>
    </row>
    <row r="31" spans="1:8">
      <c r="A31" s="43">
        <v>630</v>
      </c>
      <c r="B31" s="43">
        <v>958</v>
      </c>
      <c r="C31" s="43">
        <v>798</v>
      </c>
      <c r="D31" s="43">
        <v>1005</v>
      </c>
      <c r="E31" s="43">
        <v>855</v>
      </c>
      <c r="F31" s="43">
        <v>905</v>
      </c>
      <c r="G31" s="43">
        <v>1138</v>
      </c>
      <c r="H31" s="43">
        <v>1070</v>
      </c>
    </row>
    <row r="32" spans="1:8">
      <c r="A32" s="43">
        <v>800</v>
      </c>
      <c r="B32" s="43">
        <v>1118</v>
      </c>
      <c r="C32" s="43">
        <v>930</v>
      </c>
      <c r="D32" s="43">
        <v>1169</v>
      </c>
      <c r="E32" s="43">
        <v>971</v>
      </c>
      <c r="F32" s="43">
        <v>1119</v>
      </c>
      <c r="G32" s="43">
        <v>1325</v>
      </c>
      <c r="H32" s="43">
        <v>1251</v>
      </c>
    </row>
    <row r="33" spans="1:8">
      <c r="A33" s="43">
        <v>1000</v>
      </c>
      <c r="B33" s="43">
        <v>1292</v>
      </c>
      <c r="C33" s="43">
        <v>1073</v>
      </c>
      <c r="D33" s="43">
        <v>1346</v>
      </c>
      <c r="E33" s="43">
        <v>1079</v>
      </c>
      <c r="F33" s="43">
        <v>1296</v>
      </c>
      <c r="G33" s="43">
        <v>1528</v>
      </c>
      <c r="H33" s="43">
        <v>1448</v>
      </c>
    </row>
    <row r="34" spans="1:8">
      <c r="A34" s="43"/>
      <c r="B34" s="43"/>
      <c r="C34" s="43"/>
      <c r="D34" s="43"/>
      <c r="E34" s="43"/>
      <c r="F34" s="43"/>
      <c r="G34" s="43"/>
      <c r="H34" s="43"/>
    </row>
    <row r="35" spans="1:8">
      <c r="A35" s="78" t="s">
        <v>130</v>
      </c>
      <c r="B35" s="78"/>
      <c r="C35" s="78"/>
      <c r="D35" s="78"/>
      <c r="E35" s="78"/>
      <c r="F35" s="78"/>
      <c r="G35" s="78"/>
      <c r="H35" s="78"/>
    </row>
    <row r="36" spans="1:8">
      <c r="A36" s="44">
        <v>16</v>
      </c>
      <c r="B36" s="44">
        <v>73</v>
      </c>
      <c r="C36" s="44">
        <v>61</v>
      </c>
      <c r="D36" s="44">
        <v>73</v>
      </c>
      <c r="E36" s="44">
        <v>62</v>
      </c>
      <c r="F36" s="44">
        <v>65</v>
      </c>
      <c r="G36" s="44">
        <v>84</v>
      </c>
      <c r="H36" s="44">
        <v>73</v>
      </c>
    </row>
    <row r="37" spans="1:8">
      <c r="A37" s="44">
        <v>25</v>
      </c>
      <c r="B37" s="44">
        <v>89</v>
      </c>
      <c r="C37" s="44">
        <v>78</v>
      </c>
      <c r="D37" s="44">
        <v>98</v>
      </c>
      <c r="E37" s="44">
        <v>84</v>
      </c>
      <c r="F37" s="44">
        <v>87</v>
      </c>
      <c r="G37" s="44">
        <v>112</v>
      </c>
      <c r="H37" s="44">
        <v>99</v>
      </c>
    </row>
    <row r="38" spans="1:8">
      <c r="A38" s="44">
        <v>35</v>
      </c>
      <c r="B38" s="44">
        <v>111</v>
      </c>
      <c r="C38" s="44">
        <v>96</v>
      </c>
      <c r="D38" s="44">
        <v>122</v>
      </c>
      <c r="E38" s="44">
        <v>105</v>
      </c>
      <c r="F38" s="44">
        <v>109</v>
      </c>
      <c r="G38" s="44">
        <v>139</v>
      </c>
      <c r="H38" s="44">
        <v>124</v>
      </c>
    </row>
    <row r="39" spans="1:8">
      <c r="A39" s="44">
        <v>50</v>
      </c>
      <c r="B39" s="44">
        <v>135</v>
      </c>
      <c r="C39" s="44">
        <v>117</v>
      </c>
      <c r="D39" s="44">
        <v>149</v>
      </c>
      <c r="E39" s="44">
        <v>128</v>
      </c>
      <c r="F39" s="44">
        <v>133</v>
      </c>
      <c r="G39" s="44">
        <v>169</v>
      </c>
      <c r="H39" s="44">
        <v>152</v>
      </c>
    </row>
    <row r="40" spans="1:8">
      <c r="A40" s="44">
        <v>70</v>
      </c>
      <c r="B40" s="44">
        <v>173</v>
      </c>
      <c r="C40" s="44">
        <v>150</v>
      </c>
      <c r="D40" s="44">
        <v>192</v>
      </c>
      <c r="E40" s="44">
        <v>166</v>
      </c>
      <c r="F40" s="44">
        <v>173</v>
      </c>
      <c r="G40" s="44">
        <v>217</v>
      </c>
      <c r="H40" s="44">
        <v>196</v>
      </c>
    </row>
    <row r="41" spans="1:8">
      <c r="A41" s="44">
        <v>95</v>
      </c>
      <c r="B41" s="44">
        <v>210</v>
      </c>
      <c r="C41" s="44">
        <v>183</v>
      </c>
      <c r="D41" s="44">
        <v>235</v>
      </c>
      <c r="E41" s="44">
        <v>203</v>
      </c>
      <c r="F41" s="44">
        <v>212</v>
      </c>
      <c r="G41" s="44">
        <v>265</v>
      </c>
      <c r="H41" s="44">
        <v>241</v>
      </c>
    </row>
    <row r="42" spans="1:8">
      <c r="A42" s="44">
        <v>120</v>
      </c>
      <c r="B42" s="44">
        <v>244</v>
      </c>
      <c r="C42" s="44">
        <v>212</v>
      </c>
      <c r="D42" s="44">
        <v>273</v>
      </c>
      <c r="E42" s="44">
        <v>237</v>
      </c>
      <c r="F42" s="44">
        <v>247</v>
      </c>
      <c r="G42" s="44">
        <v>308</v>
      </c>
      <c r="H42" s="44">
        <v>282</v>
      </c>
    </row>
    <row r="43" spans="1:8">
      <c r="A43" s="44">
        <v>150</v>
      </c>
      <c r="B43" s="44">
        <v>282</v>
      </c>
      <c r="C43" s="44">
        <v>245</v>
      </c>
      <c r="D43" s="44">
        <v>316</v>
      </c>
      <c r="E43" s="44">
        <v>274</v>
      </c>
      <c r="F43" s="44">
        <v>287</v>
      </c>
      <c r="G43" s="44">
        <v>356</v>
      </c>
      <c r="H43" s="44">
        <v>327</v>
      </c>
    </row>
    <row r="44" spans="1:8">
      <c r="A44" s="44">
        <v>185</v>
      </c>
      <c r="B44" s="44">
        <v>322</v>
      </c>
      <c r="C44" s="44">
        <v>280</v>
      </c>
      <c r="D44" s="44">
        <v>363</v>
      </c>
      <c r="E44" s="44">
        <v>315</v>
      </c>
      <c r="F44" s="44">
        <v>330</v>
      </c>
      <c r="G44" s="44">
        <v>407</v>
      </c>
      <c r="H44" s="44">
        <v>376</v>
      </c>
    </row>
    <row r="45" spans="1:8">
      <c r="A45" s="44">
        <v>240</v>
      </c>
      <c r="B45" s="44">
        <v>380</v>
      </c>
      <c r="C45" s="44">
        <v>330</v>
      </c>
      <c r="D45" s="44">
        <v>430</v>
      </c>
      <c r="E45" s="44">
        <v>375</v>
      </c>
      <c r="F45" s="44">
        <v>392</v>
      </c>
      <c r="G45" s="44">
        <v>482</v>
      </c>
      <c r="H45" s="44">
        <v>447</v>
      </c>
    </row>
    <row r="46" spans="1:8">
      <c r="A46" s="44">
        <v>300</v>
      </c>
      <c r="B46" s="44">
        <v>439</v>
      </c>
      <c r="C46" s="44">
        <v>381</v>
      </c>
      <c r="D46" s="44">
        <v>497</v>
      </c>
      <c r="E46" s="44">
        <v>434</v>
      </c>
      <c r="F46" s="44">
        <v>455</v>
      </c>
      <c r="G46" s="44">
        <v>557</v>
      </c>
      <c r="H46" s="44">
        <v>519</v>
      </c>
    </row>
    <row r="47" spans="1:8">
      <c r="A47" s="44">
        <v>400</v>
      </c>
      <c r="B47" s="44">
        <v>528</v>
      </c>
      <c r="C47" s="44">
        <v>458</v>
      </c>
      <c r="D47" s="44">
        <v>600</v>
      </c>
      <c r="E47" s="44">
        <v>526</v>
      </c>
      <c r="F47" s="44">
        <v>552</v>
      </c>
      <c r="G47" s="44">
        <v>671</v>
      </c>
      <c r="H47" s="44">
        <v>629</v>
      </c>
    </row>
    <row r="48" spans="1:8">
      <c r="A48" s="44">
        <v>500</v>
      </c>
      <c r="B48" s="44">
        <v>608</v>
      </c>
      <c r="C48" s="44">
        <v>528</v>
      </c>
      <c r="D48" s="44">
        <v>694</v>
      </c>
      <c r="E48" s="44">
        <v>610</v>
      </c>
      <c r="F48" s="44">
        <v>640</v>
      </c>
      <c r="G48" s="44">
        <v>775</v>
      </c>
      <c r="H48" s="44">
        <v>730</v>
      </c>
    </row>
    <row r="49" spans="1:8">
      <c r="A49" s="44">
        <v>630</v>
      </c>
      <c r="B49" s="44">
        <v>705</v>
      </c>
      <c r="C49" s="44">
        <v>613</v>
      </c>
      <c r="D49" s="44">
        <v>808</v>
      </c>
      <c r="E49" s="44">
        <v>711</v>
      </c>
      <c r="F49" s="44">
        <v>640</v>
      </c>
      <c r="G49" s="44">
        <v>775</v>
      </c>
      <c r="H49" s="44">
        <v>730</v>
      </c>
    </row>
    <row r="50" spans="1:8">
      <c r="A50" s="44">
        <v>800</v>
      </c>
      <c r="B50" s="44">
        <v>822</v>
      </c>
      <c r="C50" s="44">
        <v>714</v>
      </c>
      <c r="D50" s="44">
        <v>944</v>
      </c>
      <c r="E50" s="44">
        <v>832</v>
      </c>
      <c r="F50" s="44">
        <v>875</v>
      </c>
      <c r="G50" s="44">
        <v>1050</v>
      </c>
      <c r="H50" s="44">
        <v>1000</v>
      </c>
    </row>
    <row r="51" spans="1:8">
      <c r="A51" s="44">
        <v>1000</v>
      </c>
      <c r="B51" s="44">
        <v>948</v>
      </c>
      <c r="C51" s="44">
        <v>823</v>
      </c>
      <c r="D51" s="44">
        <v>1092</v>
      </c>
      <c r="E51" s="44">
        <v>965</v>
      </c>
      <c r="F51" s="44">
        <v>1015</v>
      </c>
      <c r="G51" s="44">
        <v>1213</v>
      </c>
      <c r="H51" s="44">
        <v>1161</v>
      </c>
    </row>
    <row r="52" spans="1:8">
      <c r="A52" s="44"/>
      <c r="B52" s="44"/>
      <c r="C52" s="44"/>
      <c r="D52" s="44"/>
      <c r="E52" s="44"/>
      <c r="F52" s="44"/>
      <c r="G52" s="44"/>
      <c r="H52" s="44"/>
    </row>
    <row r="53" spans="1:8">
      <c r="A53" s="44"/>
      <c r="B53" s="44"/>
      <c r="C53" s="44"/>
      <c r="D53" s="44"/>
      <c r="E53" s="44"/>
      <c r="F53" s="44"/>
      <c r="G53" s="44"/>
      <c r="H53" s="44"/>
    </row>
    <row r="54" spans="1:8">
      <c r="A54" s="44"/>
      <c r="B54" s="44"/>
      <c r="C54" s="44"/>
      <c r="D54" s="44"/>
      <c r="E54" s="44"/>
      <c r="F54" s="44"/>
      <c r="G54" s="44"/>
      <c r="H54" s="44"/>
    </row>
    <row r="55" spans="1:8">
      <c r="A55" s="44"/>
      <c r="B55" s="44"/>
      <c r="C55" s="44"/>
      <c r="D55" s="44"/>
      <c r="E55" s="44"/>
      <c r="F55" s="44"/>
      <c r="G55" s="44"/>
      <c r="H55" s="44"/>
    </row>
    <row r="56" spans="1:8">
      <c r="A56" s="44"/>
      <c r="B56" s="44"/>
      <c r="C56" s="44"/>
      <c r="D56" s="44"/>
      <c r="E56" s="44"/>
      <c r="F56" s="44"/>
      <c r="G56" s="44"/>
      <c r="H56" s="44"/>
    </row>
    <row r="57" spans="1:8">
      <c r="A57" s="44"/>
      <c r="B57" s="44"/>
      <c r="C57" s="44"/>
      <c r="D57" s="44"/>
      <c r="E57" s="44"/>
      <c r="F57" s="44"/>
      <c r="G57" s="44"/>
      <c r="H57" s="44"/>
    </row>
    <row r="58" spans="1:8">
      <c r="A58" s="40"/>
      <c r="B58" s="40"/>
      <c r="C58" s="40"/>
      <c r="D58" s="40"/>
      <c r="E58" s="40"/>
      <c r="F58" s="40"/>
      <c r="G58" s="40"/>
      <c r="H58" s="40"/>
    </row>
    <row r="59" spans="1:8">
      <c r="A59" s="40"/>
      <c r="B59" s="40"/>
      <c r="C59" s="40"/>
      <c r="D59" s="40"/>
      <c r="E59" s="40"/>
      <c r="F59" s="40"/>
      <c r="G59" s="40"/>
      <c r="H59" s="40"/>
    </row>
    <row r="60" spans="1:8">
      <c r="A60" s="40"/>
      <c r="B60" s="40"/>
      <c r="C60" s="40"/>
      <c r="D60" s="40"/>
      <c r="E60" s="40"/>
      <c r="F60" s="40"/>
      <c r="G60" s="40"/>
      <c r="H60" s="40"/>
    </row>
    <row r="61" spans="1:8">
      <c r="A61" s="40"/>
      <c r="B61" s="40"/>
      <c r="C61" s="40"/>
      <c r="D61" s="40"/>
      <c r="E61" s="40"/>
      <c r="F61" s="40"/>
      <c r="G61" s="40"/>
      <c r="H61" s="40"/>
    </row>
    <row r="62" spans="1:8">
      <c r="A62" s="40"/>
      <c r="B62" s="40"/>
      <c r="C62" s="40"/>
      <c r="D62" s="40"/>
      <c r="E62" s="40"/>
      <c r="F62" s="40"/>
      <c r="G62" s="40"/>
      <c r="H62" s="40"/>
    </row>
    <row r="63" spans="1:8">
      <c r="A63" s="40"/>
      <c r="B63" s="40"/>
      <c r="C63" s="40"/>
      <c r="D63" s="40"/>
      <c r="E63" s="40"/>
      <c r="F63" s="40"/>
      <c r="G63" s="40"/>
      <c r="H63" s="40"/>
    </row>
    <row r="64" spans="1:8">
      <c r="A64" s="40"/>
      <c r="B64" s="40"/>
      <c r="C64" s="40"/>
      <c r="D64" s="40"/>
      <c r="E64" s="40"/>
      <c r="F64" s="40"/>
      <c r="G64" s="40"/>
      <c r="H64" s="40"/>
    </row>
    <row r="65" spans="1:8">
      <c r="A65" s="40"/>
      <c r="B65" s="40"/>
      <c r="C65" s="40"/>
      <c r="D65" s="40"/>
      <c r="E65" s="40"/>
      <c r="F65" s="40"/>
      <c r="G65" s="40"/>
      <c r="H65" s="40"/>
    </row>
    <row r="66" spans="1:8">
      <c r="A66" s="40"/>
      <c r="B66" s="40"/>
      <c r="C66" s="40"/>
      <c r="D66" s="40"/>
      <c r="E66" s="40"/>
      <c r="F66" s="40"/>
      <c r="G66" s="40"/>
      <c r="H66" s="40"/>
    </row>
    <row r="67" spans="1:8">
      <c r="A67" s="40"/>
      <c r="B67" s="40"/>
      <c r="C67" s="40"/>
      <c r="D67" s="40"/>
      <c r="E67" s="40"/>
      <c r="F67" s="40"/>
      <c r="G67" s="40"/>
      <c r="H67" s="40"/>
    </row>
    <row r="68" spans="1:8">
      <c r="A68" s="40"/>
      <c r="B68" s="40"/>
      <c r="C68" s="40"/>
      <c r="D68" s="40"/>
      <c r="E68" s="40"/>
      <c r="F68" s="40"/>
      <c r="G68" s="40"/>
      <c r="H68" s="40"/>
    </row>
    <row r="69" spans="1:8">
      <c r="A69" s="40"/>
      <c r="B69" s="40"/>
      <c r="C69" s="40"/>
      <c r="D69" s="40"/>
      <c r="E69" s="40"/>
      <c r="F69" s="40"/>
      <c r="G69" s="40"/>
      <c r="H69" s="40"/>
    </row>
    <row r="70" spans="1:8">
      <c r="A70" s="40"/>
      <c r="B70" s="40"/>
      <c r="C70" s="40"/>
      <c r="D70" s="40"/>
      <c r="E70" s="40"/>
      <c r="F70" s="40"/>
      <c r="G70" s="40"/>
      <c r="H70" s="40"/>
    </row>
    <row r="71" spans="1:8">
      <c r="A71" s="40"/>
      <c r="B71" s="40"/>
      <c r="C71" s="40"/>
      <c r="D71" s="40"/>
      <c r="E71" s="40"/>
      <c r="F71" s="40"/>
      <c r="G71" s="40"/>
      <c r="H71" s="40"/>
    </row>
    <row r="72" spans="1:8">
      <c r="A72" s="40"/>
      <c r="B72" s="40"/>
      <c r="C72" s="40"/>
      <c r="D72" s="40"/>
      <c r="E72" s="40"/>
      <c r="F72" s="40"/>
      <c r="G72" s="40"/>
      <c r="H72" s="40"/>
    </row>
    <row r="73" spans="1:8">
      <c r="A73" s="40"/>
      <c r="B73" s="40"/>
      <c r="C73" s="40"/>
      <c r="D73" s="40"/>
      <c r="E73" s="40"/>
      <c r="F73" s="40"/>
      <c r="G73" s="40"/>
      <c r="H73" s="40"/>
    </row>
    <row r="74" spans="1:8">
      <c r="A74" s="40"/>
      <c r="B74" s="40"/>
      <c r="C74" s="40"/>
      <c r="D74" s="40"/>
      <c r="E74" s="40"/>
      <c r="F74" s="40"/>
      <c r="G74" s="40"/>
      <c r="H74" s="40"/>
    </row>
    <row r="75" spans="1:8">
      <c r="A75" s="40"/>
      <c r="B75" s="40"/>
      <c r="C75" s="40"/>
      <c r="D75" s="40"/>
      <c r="E75" s="40"/>
      <c r="F75" s="40"/>
      <c r="G75" s="40"/>
      <c r="H75" s="40"/>
    </row>
    <row r="76" spans="1:8">
      <c r="A76" s="40"/>
      <c r="B76" s="40"/>
      <c r="C76" s="40"/>
      <c r="D76" s="40"/>
      <c r="E76" s="40"/>
      <c r="F76" s="40"/>
      <c r="G76" s="40"/>
      <c r="H76" s="40"/>
    </row>
    <row r="77" spans="1:8">
      <c r="A77" s="40"/>
      <c r="B77" s="40"/>
      <c r="C77" s="40"/>
      <c r="D77" s="40"/>
      <c r="E77" s="40"/>
      <c r="F77" s="40"/>
      <c r="G77" s="40"/>
      <c r="H77" s="40"/>
    </row>
    <row r="78" spans="1:8">
      <c r="A78" s="40"/>
      <c r="B78" s="40"/>
      <c r="C78" s="40"/>
      <c r="D78" s="40"/>
      <c r="E78" s="40"/>
      <c r="F78" s="40"/>
      <c r="G78" s="40"/>
      <c r="H78" s="40"/>
    </row>
    <row r="79" spans="1:8">
      <c r="A79" s="40"/>
      <c r="B79" s="40"/>
      <c r="C79" s="40"/>
      <c r="D79" s="40"/>
      <c r="E79" s="40"/>
      <c r="F79" s="40"/>
      <c r="G79" s="40"/>
      <c r="H79" s="40"/>
    </row>
    <row r="80" spans="1:8">
      <c r="A80" s="40"/>
      <c r="B80" s="40"/>
      <c r="C80" s="40"/>
      <c r="D80" s="40"/>
      <c r="E80" s="40"/>
      <c r="F80" s="40"/>
      <c r="G80" s="40"/>
      <c r="H80" s="40"/>
    </row>
    <row r="81" spans="1:8">
      <c r="A81" s="40"/>
      <c r="B81" s="40"/>
      <c r="C81" s="40"/>
      <c r="D81" s="40"/>
      <c r="E81" s="40"/>
      <c r="F81" s="40"/>
      <c r="G81" s="40"/>
      <c r="H81" s="40"/>
    </row>
    <row r="82" spans="1:8">
      <c r="A82" s="40"/>
      <c r="B82" s="40"/>
      <c r="C82" s="40"/>
      <c r="D82" s="40"/>
      <c r="E82" s="40"/>
      <c r="F82" s="40"/>
      <c r="G82" s="40"/>
      <c r="H82" s="40"/>
    </row>
    <row r="83" spans="1:8">
      <c r="A83" s="40"/>
      <c r="B83" s="40"/>
      <c r="C83" s="40"/>
      <c r="D83" s="40"/>
      <c r="E83" s="40"/>
      <c r="F83" s="40"/>
      <c r="G83" s="40"/>
      <c r="H83" s="40"/>
    </row>
    <row r="84" spans="1:8">
      <c r="A84" s="40"/>
      <c r="B84" s="40"/>
      <c r="C84" s="40"/>
      <c r="D84" s="40"/>
      <c r="E84" s="40"/>
      <c r="F84" s="40"/>
      <c r="G84" s="40"/>
      <c r="H84" s="40"/>
    </row>
    <row r="85" spans="1:8">
      <c r="A85" s="40"/>
      <c r="B85" s="40"/>
      <c r="C85" s="40"/>
      <c r="D85" s="40"/>
      <c r="E85" s="40"/>
      <c r="F85" s="40"/>
      <c r="G85" s="40"/>
      <c r="H85" s="40"/>
    </row>
    <row r="86" spans="1:8">
      <c r="A86" s="40"/>
      <c r="B86" s="40"/>
      <c r="C86" s="40"/>
      <c r="D86" s="40"/>
      <c r="E86" s="40"/>
      <c r="F86" s="40"/>
      <c r="G86" s="40"/>
      <c r="H86" s="40"/>
    </row>
    <row r="87" spans="1:8">
      <c r="A87" s="40"/>
      <c r="B87" s="40"/>
      <c r="C87" s="40"/>
      <c r="D87" s="40"/>
      <c r="E87" s="40"/>
      <c r="F87" s="40"/>
      <c r="G87" s="40"/>
      <c r="H87" s="40"/>
    </row>
    <row r="88" spans="1:8">
      <c r="A88" s="40"/>
      <c r="B88" s="40"/>
      <c r="C88" s="40"/>
      <c r="D88" s="40"/>
      <c r="E88" s="40"/>
      <c r="F88" s="40"/>
      <c r="G88" s="40"/>
      <c r="H88" s="40"/>
    </row>
    <row r="89" spans="1:8">
      <c r="A89" s="40"/>
      <c r="B89" s="40"/>
      <c r="C89" s="40"/>
      <c r="D89" s="40"/>
      <c r="E89" s="40"/>
      <c r="F89" s="40"/>
      <c r="G89" s="40"/>
      <c r="H89" s="40"/>
    </row>
    <row r="90" spans="1:8">
      <c r="A90" s="40"/>
      <c r="B90" s="40"/>
      <c r="C90" s="40"/>
      <c r="D90" s="40"/>
      <c r="E90" s="40"/>
      <c r="F90" s="40"/>
      <c r="G90" s="40"/>
      <c r="H90" s="40"/>
    </row>
    <row r="91" spans="1:8">
      <c r="A91" s="40"/>
      <c r="B91" s="40"/>
      <c r="C91" s="40"/>
      <c r="D91" s="40"/>
      <c r="E91" s="40"/>
      <c r="F91" s="40"/>
      <c r="G91" s="40"/>
      <c r="H91" s="40"/>
    </row>
    <row r="92" spans="1:8">
      <c r="A92" s="40"/>
      <c r="B92" s="40"/>
      <c r="C92" s="40"/>
      <c r="D92" s="40"/>
      <c r="E92" s="40"/>
      <c r="F92" s="40"/>
      <c r="G92" s="40"/>
      <c r="H92" s="40"/>
    </row>
    <row r="93" spans="1:8">
      <c r="A93" s="40"/>
      <c r="B93" s="40"/>
      <c r="C93" s="40"/>
      <c r="D93" s="40"/>
      <c r="E93" s="40"/>
      <c r="F93" s="40"/>
      <c r="G93" s="40"/>
      <c r="H93" s="40"/>
    </row>
    <row r="94" spans="1:8">
      <c r="A94" s="40"/>
      <c r="B94" s="40"/>
      <c r="C94" s="40"/>
      <c r="D94" s="40"/>
      <c r="E94" s="40"/>
      <c r="F94" s="40"/>
      <c r="G94" s="40"/>
      <c r="H94" s="40"/>
    </row>
    <row r="95" spans="1:8">
      <c r="A95" s="40"/>
      <c r="B95" s="40"/>
      <c r="C95" s="40"/>
      <c r="D95" s="40"/>
      <c r="E95" s="40"/>
      <c r="F95" s="40"/>
      <c r="G95" s="40"/>
      <c r="H95" s="40"/>
    </row>
    <row r="96" spans="1:8">
      <c r="A96" s="40"/>
      <c r="B96" s="40"/>
      <c r="C96" s="40"/>
      <c r="D96" s="40"/>
      <c r="E96" s="40"/>
      <c r="F96" s="40"/>
      <c r="G96" s="40"/>
      <c r="H96" s="40"/>
    </row>
    <row r="97" spans="1:8">
      <c r="A97" s="40"/>
      <c r="B97" s="40"/>
      <c r="C97" s="40"/>
      <c r="D97" s="40"/>
      <c r="E97" s="40"/>
      <c r="F97" s="40"/>
      <c r="G97" s="40"/>
      <c r="H97" s="40"/>
    </row>
    <row r="98" spans="1:8">
      <c r="A98" s="40"/>
      <c r="B98" s="40"/>
      <c r="C98" s="40"/>
      <c r="D98" s="40"/>
      <c r="E98" s="40"/>
      <c r="F98" s="40"/>
      <c r="G98" s="40"/>
      <c r="H98" s="40"/>
    </row>
    <row r="99" spans="1:8">
      <c r="A99" s="40"/>
      <c r="B99" s="40"/>
      <c r="C99" s="40"/>
      <c r="D99" s="40"/>
      <c r="E99" s="40"/>
      <c r="F99" s="40"/>
      <c r="G99" s="40"/>
      <c r="H99" s="40"/>
    </row>
    <row r="100" spans="1:8">
      <c r="A100" s="40"/>
      <c r="B100" s="40"/>
      <c r="C100" s="40"/>
      <c r="D100" s="40"/>
      <c r="E100" s="40"/>
      <c r="F100" s="40"/>
      <c r="G100" s="40"/>
      <c r="H100" s="40"/>
    </row>
    <row r="101" spans="1:8">
      <c r="A101" s="40"/>
      <c r="B101" s="40"/>
      <c r="C101" s="40"/>
      <c r="D101" s="40"/>
      <c r="E101" s="40"/>
      <c r="F101" s="40"/>
      <c r="G101" s="40"/>
      <c r="H101" s="40"/>
    </row>
    <row r="102" spans="1:8">
      <c r="A102" s="40"/>
      <c r="B102" s="40"/>
      <c r="C102" s="40"/>
      <c r="D102" s="40"/>
      <c r="E102" s="40"/>
      <c r="F102" s="40"/>
      <c r="G102" s="40"/>
      <c r="H102" s="40"/>
    </row>
    <row r="103" spans="1:8">
      <c r="A103" s="40"/>
      <c r="B103" s="40"/>
      <c r="C103" s="40"/>
      <c r="D103" s="40"/>
      <c r="E103" s="40"/>
      <c r="F103" s="40"/>
      <c r="G103" s="40"/>
      <c r="H103" s="40"/>
    </row>
    <row r="104" spans="1:8">
      <c r="A104" s="40"/>
      <c r="B104" s="40"/>
      <c r="C104" s="40"/>
      <c r="D104" s="40"/>
      <c r="E104" s="40"/>
      <c r="F104" s="40"/>
      <c r="G104" s="40"/>
      <c r="H104" s="40"/>
    </row>
    <row r="105" spans="1:8">
      <c r="A105" s="40"/>
      <c r="B105" s="40"/>
      <c r="C105" s="40"/>
      <c r="D105" s="40"/>
      <c r="E105" s="40"/>
      <c r="F105" s="40"/>
      <c r="G105" s="40"/>
      <c r="H105" s="40"/>
    </row>
    <row r="106" spans="1:8">
      <c r="A106" s="40"/>
      <c r="B106" s="40"/>
      <c r="C106" s="40"/>
      <c r="D106" s="40"/>
      <c r="E106" s="40"/>
      <c r="F106" s="40"/>
      <c r="G106" s="40"/>
      <c r="H106" s="40"/>
    </row>
    <row r="107" spans="1:8">
      <c r="A107" s="40"/>
      <c r="B107" s="40"/>
      <c r="C107" s="40"/>
      <c r="D107" s="40"/>
      <c r="E107" s="40"/>
      <c r="F107" s="40"/>
      <c r="G107" s="40"/>
      <c r="H107" s="40"/>
    </row>
    <row r="108" spans="1:8">
      <c r="A108" s="40"/>
      <c r="B108" s="40"/>
      <c r="C108" s="40"/>
      <c r="D108" s="40"/>
      <c r="E108" s="40"/>
      <c r="F108" s="40"/>
      <c r="G108" s="40"/>
      <c r="H108" s="40"/>
    </row>
    <row r="109" spans="1:8">
      <c r="A109" s="40"/>
      <c r="B109" s="40"/>
      <c r="C109" s="40"/>
      <c r="D109" s="40"/>
      <c r="E109" s="40"/>
      <c r="F109" s="40"/>
      <c r="G109" s="40"/>
      <c r="H109" s="40"/>
    </row>
    <row r="110" spans="1:8">
      <c r="A110" s="40"/>
      <c r="B110" s="40"/>
      <c r="C110" s="40"/>
      <c r="D110" s="40"/>
      <c r="E110" s="40"/>
      <c r="F110" s="40"/>
      <c r="G110" s="40"/>
      <c r="H110" s="40"/>
    </row>
    <row r="111" spans="1:8">
      <c r="A111" s="40"/>
      <c r="B111" s="40"/>
      <c r="C111" s="40"/>
      <c r="D111" s="40"/>
      <c r="E111" s="40"/>
      <c r="F111" s="40"/>
      <c r="G111" s="40"/>
      <c r="H111" s="40"/>
    </row>
    <row r="112" spans="1:8">
      <c r="A112" s="40"/>
      <c r="B112" s="40"/>
      <c r="C112" s="40"/>
      <c r="D112" s="40"/>
      <c r="E112" s="40"/>
      <c r="F112" s="40"/>
      <c r="G112" s="40"/>
      <c r="H112" s="40"/>
    </row>
    <row r="113" spans="1:8">
      <c r="A113" s="40"/>
      <c r="B113" s="40"/>
      <c r="C113" s="40"/>
      <c r="D113" s="40"/>
      <c r="E113" s="40"/>
      <c r="F113" s="40"/>
      <c r="G113" s="40"/>
      <c r="H113" s="40"/>
    </row>
    <row r="114" spans="1:8">
      <c r="A114" s="40"/>
      <c r="B114" s="40"/>
      <c r="C114" s="40"/>
      <c r="D114" s="40"/>
      <c r="E114" s="40"/>
      <c r="F114" s="40"/>
      <c r="G114" s="40"/>
      <c r="H114" s="40"/>
    </row>
    <row r="115" spans="1:8">
      <c r="A115" s="40"/>
      <c r="B115" s="40"/>
      <c r="C115" s="40"/>
      <c r="D115" s="40"/>
      <c r="E115" s="40"/>
      <c r="F115" s="40"/>
      <c r="G115" s="40"/>
      <c r="H115" s="40"/>
    </row>
    <row r="116" spans="1:8">
      <c r="A116" s="40"/>
      <c r="B116" s="40"/>
      <c r="C116" s="40"/>
      <c r="D116" s="40"/>
      <c r="E116" s="40"/>
      <c r="F116" s="40"/>
      <c r="G116" s="40"/>
      <c r="H116" s="40"/>
    </row>
    <row r="117" spans="1:8">
      <c r="A117" s="40"/>
      <c r="B117" s="40"/>
      <c r="C117" s="40"/>
      <c r="D117" s="40"/>
      <c r="E117" s="40"/>
      <c r="F117" s="40"/>
      <c r="G117" s="40"/>
      <c r="H117" s="40"/>
    </row>
    <row r="118" spans="1:8">
      <c r="A118" s="40"/>
      <c r="B118" s="40"/>
      <c r="C118" s="40"/>
      <c r="D118" s="40"/>
      <c r="E118" s="40"/>
      <c r="F118" s="40"/>
      <c r="G118" s="40"/>
      <c r="H118" s="40"/>
    </row>
    <row r="119" spans="1:8">
      <c r="A119" s="40"/>
      <c r="B119" s="40"/>
      <c r="C119" s="40"/>
      <c r="D119" s="40"/>
      <c r="E119" s="40"/>
      <c r="F119" s="40"/>
      <c r="G119" s="40"/>
      <c r="H119" s="40"/>
    </row>
    <row r="120" spans="1:8">
      <c r="A120" s="40"/>
      <c r="B120" s="40"/>
      <c r="C120" s="40"/>
      <c r="D120" s="40"/>
      <c r="E120" s="40"/>
      <c r="F120" s="40"/>
      <c r="G120" s="40"/>
      <c r="H120" s="40"/>
    </row>
    <row r="121" spans="1:8">
      <c r="A121" s="40"/>
      <c r="B121" s="40"/>
      <c r="C121" s="40"/>
      <c r="D121" s="40"/>
      <c r="E121" s="40"/>
      <c r="F121" s="40"/>
      <c r="G121" s="40"/>
      <c r="H121" s="40"/>
    </row>
    <row r="122" spans="1:8">
      <c r="A122" s="40"/>
      <c r="B122" s="40"/>
      <c r="C122" s="40"/>
      <c r="D122" s="40"/>
      <c r="E122" s="40"/>
      <c r="F122" s="40"/>
      <c r="G122" s="40"/>
      <c r="H122" s="40"/>
    </row>
    <row r="123" spans="1:8">
      <c r="A123" s="40"/>
      <c r="B123" s="40"/>
      <c r="C123" s="40"/>
      <c r="D123" s="40"/>
      <c r="E123" s="40"/>
      <c r="F123" s="40"/>
      <c r="G123" s="40"/>
      <c r="H123" s="40"/>
    </row>
    <row r="124" spans="1:8">
      <c r="A124" s="40"/>
      <c r="B124" s="40"/>
      <c r="C124" s="40"/>
      <c r="D124" s="40"/>
      <c r="E124" s="40"/>
      <c r="F124" s="40"/>
      <c r="G124" s="40"/>
      <c r="H124" s="40"/>
    </row>
    <row r="125" spans="1:8">
      <c r="A125" s="40"/>
      <c r="B125" s="40"/>
      <c r="C125" s="40"/>
      <c r="D125" s="40"/>
      <c r="E125" s="40"/>
      <c r="F125" s="40"/>
      <c r="G125" s="40"/>
      <c r="H125" s="40"/>
    </row>
    <row r="126" spans="1:8">
      <c r="A126" s="40"/>
      <c r="B126" s="40"/>
      <c r="C126" s="40"/>
      <c r="D126" s="40"/>
      <c r="E126" s="40"/>
      <c r="F126" s="40"/>
      <c r="G126" s="40"/>
      <c r="H126" s="40"/>
    </row>
    <row r="127" spans="1:8">
      <c r="A127" s="40"/>
      <c r="B127" s="40"/>
      <c r="C127" s="40"/>
      <c r="D127" s="40"/>
      <c r="E127" s="40"/>
      <c r="F127" s="40"/>
      <c r="G127" s="40"/>
      <c r="H127" s="40"/>
    </row>
    <row r="128" spans="1:8">
      <c r="A128" s="40"/>
      <c r="B128" s="40"/>
      <c r="C128" s="40"/>
      <c r="D128" s="40"/>
      <c r="E128" s="40"/>
      <c r="F128" s="40"/>
      <c r="G128" s="40"/>
      <c r="H128" s="40"/>
    </row>
    <row r="129" spans="1:8">
      <c r="A129" s="40"/>
      <c r="B129" s="40"/>
      <c r="C129" s="40"/>
      <c r="D129" s="40"/>
      <c r="E129" s="40"/>
      <c r="F129" s="40"/>
      <c r="G129" s="40"/>
      <c r="H129" s="40"/>
    </row>
    <row r="130" spans="1:8">
      <c r="A130" s="40"/>
      <c r="B130" s="40"/>
      <c r="C130" s="40"/>
      <c r="D130" s="40"/>
      <c r="E130" s="40"/>
      <c r="F130" s="40"/>
      <c r="G130" s="40"/>
      <c r="H130" s="40"/>
    </row>
    <row r="131" spans="1:8">
      <c r="A131" s="40"/>
      <c r="B131" s="40"/>
      <c r="C131" s="40"/>
      <c r="D131" s="40"/>
      <c r="E131" s="40"/>
      <c r="F131" s="40"/>
      <c r="G131" s="40"/>
      <c r="H131" s="40"/>
    </row>
    <row r="132" spans="1:8">
      <c r="A132" s="40"/>
      <c r="B132" s="40"/>
      <c r="C132" s="40"/>
      <c r="D132" s="40"/>
      <c r="E132" s="40"/>
      <c r="F132" s="40"/>
      <c r="G132" s="40"/>
      <c r="H132" s="40"/>
    </row>
    <row r="133" spans="1:8">
      <c r="A133" s="40"/>
      <c r="B133" s="40"/>
      <c r="C133" s="40"/>
      <c r="D133" s="40"/>
      <c r="E133" s="40"/>
      <c r="F133" s="40"/>
      <c r="G133" s="40"/>
      <c r="H133" s="40"/>
    </row>
    <row r="134" spans="1:8">
      <c r="A134" s="40"/>
      <c r="B134" s="40"/>
      <c r="C134" s="40"/>
      <c r="D134" s="40"/>
      <c r="E134" s="40"/>
      <c r="F134" s="40"/>
      <c r="G134" s="40"/>
      <c r="H134" s="40"/>
    </row>
    <row r="135" spans="1:8">
      <c r="A135" s="40"/>
      <c r="B135" s="40"/>
      <c r="C135" s="40"/>
      <c r="D135" s="40"/>
      <c r="E135" s="40"/>
      <c r="F135" s="40"/>
      <c r="G135" s="40"/>
      <c r="H135" s="40"/>
    </row>
    <row r="136" spans="1:8">
      <c r="A136" s="40"/>
      <c r="B136" s="40"/>
      <c r="C136" s="40"/>
      <c r="D136" s="40"/>
      <c r="E136" s="40"/>
      <c r="F136" s="40"/>
      <c r="G136" s="40"/>
      <c r="H136" s="40"/>
    </row>
    <row r="137" spans="1:8">
      <c r="A137" s="40"/>
      <c r="B137" s="40"/>
      <c r="C137" s="40"/>
      <c r="D137" s="40"/>
      <c r="E137" s="40"/>
      <c r="F137" s="40"/>
      <c r="G137" s="40"/>
      <c r="H137" s="40"/>
    </row>
    <row r="138" spans="1:8">
      <c r="A138" s="40"/>
      <c r="B138" s="40"/>
      <c r="C138" s="40"/>
      <c r="D138" s="40"/>
      <c r="E138" s="40"/>
      <c r="F138" s="40"/>
      <c r="G138" s="40"/>
      <c r="H138" s="40"/>
    </row>
    <row r="139" spans="1:8">
      <c r="A139" s="40"/>
      <c r="B139" s="40"/>
      <c r="C139" s="40"/>
      <c r="D139" s="40"/>
      <c r="E139" s="40"/>
      <c r="F139" s="40"/>
      <c r="G139" s="40"/>
      <c r="H139" s="40"/>
    </row>
    <row r="140" spans="1:8">
      <c r="A140" s="40"/>
      <c r="B140" s="40"/>
      <c r="C140" s="40"/>
      <c r="D140" s="40"/>
      <c r="E140" s="40"/>
      <c r="F140" s="40"/>
      <c r="G140" s="40"/>
      <c r="H140" s="40"/>
    </row>
    <row r="141" spans="1:8">
      <c r="A141" s="40"/>
      <c r="B141" s="40"/>
      <c r="C141" s="40"/>
      <c r="D141" s="40"/>
      <c r="E141" s="40"/>
      <c r="F141" s="40"/>
      <c r="G141" s="40"/>
      <c r="H141" s="40"/>
    </row>
    <row r="142" spans="1:8">
      <c r="A142" s="40"/>
      <c r="B142" s="40"/>
      <c r="C142" s="40"/>
      <c r="D142" s="40"/>
      <c r="E142" s="40"/>
      <c r="F142" s="40"/>
      <c r="G142" s="40"/>
      <c r="H142" s="40"/>
    </row>
    <row r="143" spans="1:8">
      <c r="A143" s="40"/>
      <c r="B143" s="40"/>
      <c r="C143" s="40"/>
      <c r="D143" s="40"/>
      <c r="E143" s="40"/>
      <c r="F143" s="40"/>
      <c r="G143" s="40"/>
      <c r="H143" s="40"/>
    </row>
    <row r="144" spans="1:8">
      <c r="A144" s="40"/>
      <c r="B144" s="40"/>
      <c r="C144" s="40"/>
      <c r="D144" s="40"/>
      <c r="E144" s="40"/>
      <c r="F144" s="40"/>
      <c r="G144" s="40"/>
      <c r="H144" s="40"/>
    </row>
    <row r="145" spans="1:8">
      <c r="A145" s="40"/>
      <c r="B145" s="40"/>
      <c r="C145" s="40"/>
      <c r="D145" s="40"/>
      <c r="E145" s="40"/>
      <c r="F145" s="40"/>
      <c r="G145" s="40"/>
      <c r="H145" s="40"/>
    </row>
    <row r="146" spans="1:8">
      <c r="A146" s="40"/>
      <c r="B146" s="40"/>
      <c r="C146" s="40"/>
      <c r="D146" s="40"/>
      <c r="E146" s="40"/>
      <c r="F146" s="40"/>
      <c r="G146" s="40"/>
      <c r="H146" s="40"/>
    </row>
    <row r="147" spans="1:8">
      <c r="A147" s="40"/>
      <c r="B147" s="40"/>
      <c r="C147" s="40"/>
      <c r="D147" s="40"/>
      <c r="E147" s="40"/>
      <c r="F147" s="40"/>
      <c r="G147" s="40"/>
      <c r="H147" s="40"/>
    </row>
    <row r="148" spans="1:8">
      <c r="A148" s="40"/>
      <c r="B148" s="40"/>
      <c r="C148" s="40"/>
      <c r="D148" s="40"/>
      <c r="E148" s="40"/>
      <c r="F148" s="40"/>
      <c r="G148" s="40"/>
      <c r="H148" s="40"/>
    </row>
    <row r="149" spans="1:8">
      <c r="A149" s="40"/>
      <c r="B149" s="40"/>
      <c r="C149" s="40"/>
      <c r="D149" s="40"/>
      <c r="E149" s="40"/>
      <c r="F149" s="40"/>
      <c r="G149" s="40"/>
      <c r="H149" s="40"/>
    </row>
    <row r="150" spans="1:8">
      <c r="A150" s="40"/>
      <c r="B150" s="40"/>
      <c r="C150" s="40"/>
      <c r="D150" s="40"/>
      <c r="E150" s="40"/>
      <c r="F150" s="40"/>
      <c r="G150" s="40"/>
      <c r="H150" s="40"/>
    </row>
    <row r="151" spans="1:8">
      <c r="A151" s="40"/>
      <c r="B151" s="40"/>
      <c r="C151" s="40"/>
      <c r="D151" s="40"/>
      <c r="E151" s="40"/>
      <c r="F151" s="40"/>
      <c r="G151" s="40"/>
      <c r="H151" s="40"/>
    </row>
    <row r="152" spans="1:8">
      <c r="A152" s="40"/>
      <c r="B152" s="40"/>
      <c r="C152" s="40"/>
      <c r="D152" s="40"/>
      <c r="E152" s="40"/>
      <c r="F152" s="40"/>
      <c r="G152" s="40"/>
      <c r="H152" s="40"/>
    </row>
    <row r="153" spans="1:8">
      <c r="A153" s="40"/>
      <c r="B153" s="40"/>
      <c r="C153" s="40"/>
      <c r="D153" s="40"/>
      <c r="E153" s="40"/>
      <c r="F153" s="40"/>
      <c r="G153" s="40"/>
      <c r="H153" s="40"/>
    </row>
    <row r="154" spans="1:8">
      <c r="A154" s="40"/>
      <c r="B154" s="40"/>
      <c r="C154" s="40"/>
      <c r="D154" s="40"/>
      <c r="E154" s="40"/>
      <c r="F154" s="40"/>
      <c r="G154" s="40"/>
      <c r="H154" s="40"/>
    </row>
    <row r="155" spans="1:8">
      <c r="A155" s="40"/>
      <c r="B155" s="40"/>
      <c r="C155" s="40"/>
      <c r="D155" s="40"/>
      <c r="E155" s="40"/>
      <c r="F155" s="40"/>
      <c r="G155" s="40"/>
      <c r="H155" s="40"/>
    </row>
    <row r="156" spans="1:8">
      <c r="A156" s="40"/>
      <c r="B156" s="40"/>
      <c r="C156" s="40"/>
      <c r="D156" s="40"/>
      <c r="E156" s="40"/>
      <c r="F156" s="40"/>
      <c r="G156" s="40"/>
      <c r="H156" s="40"/>
    </row>
    <row r="157" spans="1:8">
      <c r="A157" s="40"/>
      <c r="B157" s="40"/>
      <c r="C157" s="40"/>
      <c r="D157" s="40"/>
      <c r="E157" s="40"/>
      <c r="F157" s="40"/>
      <c r="G157" s="40"/>
      <c r="H157" s="40"/>
    </row>
    <row r="158" spans="1:8">
      <c r="A158" s="40"/>
      <c r="B158" s="40"/>
      <c r="C158" s="40"/>
      <c r="D158" s="40"/>
      <c r="E158" s="40"/>
      <c r="F158" s="40"/>
      <c r="G158" s="40"/>
      <c r="H158" s="40"/>
    </row>
    <row r="159" spans="1:8">
      <c r="A159" s="40"/>
      <c r="B159" s="40"/>
      <c r="C159" s="40"/>
      <c r="D159" s="40"/>
      <c r="E159" s="40"/>
      <c r="F159" s="40"/>
      <c r="G159" s="40"/>
      <c r="H159" s="40"/>
    </row>
    <row r="160" spans="1:8">
      <c r="A160" s="40"/>
      <c r="B160" s="40"/>
      <c r="C160" s="40"/>
      <c r="D160" s="40"/>
      <c r="E160" s="40"/>
      <c r="F160" s="40"/>
      <c r="G160" s="40"/>
      <c r="H160" s="40"/>
    </row>
    <row r="161" spans="1:8">
      <c r="A161" s="40"/>
      <c r="B161" s="40"/>
      <c r="C161" s="40"/>
      <c r="D161" s="40"/>
      <c r="E161" s="40"/>
      <c r="F161" s="40"/>
      <c r="G161" s="40"/>
      <c r="H161" s="40"/>
    </row>
    <row r="162" spans="1:8">
      <c r="A162" s="40"/>
      <c r="B162" s="40"/>
      <c r="C162" s="40"/>
      <c r="D162" s="40"/>
      <c r="E162" s="40"/>
      <c r="F162" s="40"/>
      <c r="G162" s="40"/>
      <c r="H162" s="40"/>
    </row>
    <row r="163" spans="1:8">
      <c r="A163" s="40"/>
      <c r="B163" s="40"/>
      <c r="C163" s="40"/>
      <c r="D163" s="40"/>
      <c r="E163" s="40"/>
      <c r="F163" s="40"/>
      <c r="G163" s="40"/>
      <c r="H163" s="40"/>
    </row>
    <row r="164" spans="1:8">
      <c r="A164" s="40"/>
      <c r="B164" s="40"/>
      <c r="C164" s="40"/>
      <c r="D164" s="40"/>
      <c r="E164" s="40"/>
      <c r="F164" s="40"/>
      <c r="G164" s="40"/>
      <c r="H164" s="40"/>
    </row>
    <row r="165" spans="1:8">
      <c r="A165" s="40"/>
      <c r="B165" s="40"/>
      <c r="C165" s="40"/>
      <c r="D165" s="40"/>
      <c r="E165" s="40"/>
      <c r="F165" s="40"/>
      <c r="G165" s="40"/>
      <c r="H165" s="40"/>
    </row>
    <row r="166" spans="1:8">
      <c r="A166" s="40"/>
      <c r="B166" s="40"/>
      <c r="C166" s="40"/>
      <c r="D166" s="40"/>
      <c r="E166" s="40"/>
      <c r="F166" s="40"/>
      <c r="G166" s="40"/>
      <c r="H166" s="40"/>
    </row>
    <row r="167" spans="1:8">
      <c r="A167" s="40"/>
      <c r="B167" s="40"/>
      <c r="C167" s="40"/>
      <c r="D167" s="40"/>
      <c r="E167" s="40"/>
      <c r="F167" s="40"/>
      <c r="G167" s="40"/>
      <c r="H167" s="40"/>
    </row>
    <row r="168" spans="1:8">
      <c r="A168" s="40"/>
      <c r="B168" s="40"/>
      <c r="C168" s="40"/>
      <c r="D168" s="40"/>
      <c r="E168" s="40"/>
      <c r="F168" s="40"/>
      <c r="G168" s="40"/>
      <c r="H168" s="40"/>
    </row>
    <row r="169" spans="1:8">
      <c r="A169" s="40"/>
      <c r="B169" s="40"/>
      <c r="C169" s="40"/>
      <c r="D169" s="40"/>
      <c r="E169" s="40"/>
      <c r="F169" s="40"/>
      <c r="G169" s="40"/>
      <c r="H169" s="40"/>
    </row>
    <row r="170" spans="1:8">
      <c r="A170" s="40"/>
      <c r="B170" s="40"/>
      <c r="C170" s="40"/>
      <c r="D170" s="40"/>
      <c r="E170" s="40"/>
      <c r="F170" s="40"/>
      <c r="G170" s="40"/>
      <c r="H170" s="40"/>
    </row>
    <row r="171" spans="1:8">
      <c r="A171" s="40"/>
      <c r="B171" s="40"/>
      <c r="C171" s="40"/>
      <c r="D171" s="40"/>
      <c r="E171" s="40"/>
      <c r="F171" s="40"/>
      <c r="G171" s="40"/>
      <c r="H171" s="40"/>
    </row>
    <row r="172" spans="1:8">
      <c r="A172" s="40"/>
      <c r="B172" s="40"/>
      <c r="C172" s="40"/>
      <c r="D172" s="40"/>
      <c r="E172" s="40"/>
      <c r="F172" s="40"/>
      <c r="G172" s="40"/>
      <c r="H172" s="40"/>
    </row>
    <row r="173" spans="1:8">
      <c r="A173" s="40"/>
      <c r="B173" s="40"/>
      <c r="C173" s="40"/>
      <c r="D173" s="40"/>
      <c r="E173" s="40"/>
      <c r="F173" s="40"/>
      <c r="G173" s="40"/>
      <c r="H173" s="40"/>
    </row>
    <row r="174" spans="1:8">
      <c r="A174" s="40"/>
      <c r="B174" s="40"/>
      <c r="C174" s="40"/>
      <c r="D174" s="40"/>
      <c r="E174" s="40"/>
      <c r="F174" s="40"/>
      <c r="G174" s="40"/>
      <c r="H174" s="40"/>
    </row>
    <row r="175" spans="1:8">
      <c r="A175" s="40"/>
      <c r="B175" s="40"/>
      <c r="C175" s="40"/>
      <c r="D175" s="40"/>
      <c r="E175" s="40"/>
      <c r="F175" s="40"/>
      <c r="G175" s="40"/>
      <c r="H175" s="40"/>
    </row>
    <row r="176" spans="1:8">
      <c r="A176" s="40"/>
      <c r="B176" s="40"/>
      <c r="C176" s="40"/>
      <c r="D176" s="40"/>
      <c r="E176" s="40"/>
      <c r="F176" s="40"/>
      <c r="G176" s="40"/>
      <c r="H176" s="40"/>
    </row>
    <row r="177" spans="1:8">
      <c r="A177" s="40"/>
      <c r="B177" s="40"/>
      <c r="C177" s="40"/>
      <c r="D177" s="40"/>
      <c r="E177" s="40"/>
      <c r="F177" s="40"/>
      <c r="G177" s="40"/>
      <c r="H177" s="40"/>
    </row>
    <row r="178" spans="1:8">
      <c r="A178" s="40"/>
      <c r="B178" s="40"/>
      <c r="C178" s="40"/>
      <c r="D178" s="40"/>
      <c r="E178" s="40"/>
      <c r="F178" s="40"/>
      <c r="G178" s="40"/>
      <c r="H178" s="40"/>
    </row>
  </sheetData>
  <mergeCells count="14">
    <mergeCell ref="A35:H35"/>
    <mergeCell ref="D2:H2"/>
    <mergeCell ref="F3:H3"/>
    <mergeCell ref="B3:B5"/>
    <mergeCell ref="C3:C5"/>
    <mergeCell ref="A1:A7"/>
    <mergeCell ref="B1:H1"/>
    <mergeCell ref="B2:C2"/>
    <mergeCell ref="B7:H7"/>
    <mergeCell ref="D3:D5"/>
    <mergeCell ref="E3:E5"/>
    <mergeCell ref="F4:F5"/>
    <mergeCell ref="G4:H4"/>
    <mergeCell ref="A9:H9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/>
  <dimension ref="A1:P20"/>
  <sheetViews>
    <sheetView workbookViewId="0">
      <selection activeCell="J1" sqref="J1:J1048576"/>
    </sheetView>
  </sheetViews>
  <sheetFormatPr defaultRowHeight="15"/>
  <cols>
    <col min="1" max="3" width="9" bestFit="1" customWidth="1"/>
    <col min="4" max="4" width="10.5703125" bestFit="1" customWidth="1"/>
    <col min="5" max="5" width="12" bestFit="1" customWidth="1"/>
    <col min="6" max="6" width="15.42578125" bestFit="1" customWidth="1"/>
    <col min="7" max="7" width="2" bestFit="1" customWidth="1"/>
    <col min="8" max="9" width="2" style="47" customWidth="1"/>
    <col min="10" max="10" width="3" style="47" bestFit="1" customWidth="1"/>
    <col min="11" max="11" width="9.5703125" customWidth="1"/>
    <col min="12" max="14" width="10.5703125" bestFit="1" customWidth="1"/>
    <col min="15" max="15" width="12" bestFit="1" customWidth="1"/>
    <col min="16" max="16" width="15.42578125" bestFit="1" customWidth="1"/>
  </cols>
  <sheetData>
    <row r="1" spans="1:16" s="47" customFormat="1">
      <c r="A1" s="47">
        <v>1</v>
      </c>
      <c r="B1" s="47">
        <v>2</v>
      </c>
      <c r="C1" s="47">
        <v>3</v>
      </c>
      <c r="D1" s="47">
        <v>4</v>
      </c>
      <c r="E1" s="47">
        <v>5</v>
      </c>
      <c r="F1" s="47">
        <v>6</v>
      </c>
      <c r="G1" s="47">
        <v>7</v>
      </c>
      <c r="H1" s="47">
        <v>8</v>
      </c>
      <c r="I1" s="47">
        <v>9</v>
      </c>
      <c r="J1" s="47">
        <v>10</v>
      </c>
      <c r="K1" s="47">
        <v>11</v>
      </c>
      <c r="L1" s="47">
        <v>12</v>
      </c>
      <c r="M1" s="47">
        <v>13</v>
      </c>
      <c r="N1" s="47">
        <v>14</v>
      </c>
      <c r="O1" s="47">
        <v>15</v>
      </c>
      <c r="P1" s="47">
        <v>16</v>
      </c>
    </row>
    <row r="2" spans="1:16" s="47" customFormat="1"/>
    <row r="3" spans="1:16">
      <c r="A3" s="49" t="s">
        <v>195</v>
      </c>
      <c r="B3" s="47">
        <v>127</v>
      </c>
      <c r="C3" s="47" t="s">
        <v>196</v>
      </c>
      <c r="D3" s="49" t="s">
        <v>197</v>
      </c>
      <c r="E3" s="47">
        <v>1.7241379310344827E-2</v>
      </c>
      <c r="F3" s="47" t="s">
        <v>198</v>
      </c>
      <c r="K3" s="49" t="s">
        <v>195</v>
      </c>
      <c r="L3" s="47">
        <v>220</v>
      </c>
      <c r="M3" s="47" t="s">
        <v>196</v>
      </c>
      <c r="N3" s="49" t="s">
        <v>197</v>
      </c>
      <c r="O3" s="47">
        <v>1.7241379310344827E-2</v>
      </c>
      <c r="P3" s="47" t="s">
        <v>198</v>
      </c>
    </row>
    <row r="4" spans="1:16">
      <c r="A4" s="99" t="s">
        <v>199</v>
      </c>
      <c r="B4" s="99"/>
      <c r="C4" s="99"/>
      <c r="D4" s="99"/>
      <c r="E4" s="99"/>
      <c r="F4" s="99"/>
      <c r="K4" s="99" t="s">
        <v>203</v>
      </c>
      <c r="L4" s="99"/>
      <c r="M4" s="99"/>
      <c r="N4" s="99"/>
      <c r="O4" s="99"/>
      <c r="P4" s="99"/>
    </row>
    <row r="5" spans="1:16" s="47" customFormat="1">
      <c r="A5" s="50"/>
      <c r="B5" s="50"/>
      <c r="C5" s="50"/>
      <c r="D5" s="50"/>
      <c r="E5" s="50"/>
      <c r="F5" s="50"/>
      <c r="K5" s="50"/>
      <c r="L5" s="50"/>
      <c r="M5" s="50"/>
      <c r="N5" s="50"/>
      <c r="O5" s="50"/>
      <c r="P5" s="50"/>
    </row>
    <row r="6" spans="1:16">
      <c r="A6" s="50" t="s">
        <v>200</v>
      </c>
      <c r="B6" s="99" t="s">
        <v>201</v>
      </c>
      <c r="C6" s="99"/>
      <c r="D6" s="99"/>
      <c r="E6" s="99"/>
      <c r="F6" s="99"/>
      <c r="K6" s="50" t="s">
        <v>200</v>
      </c>
      <c r="L6" s="99" t="s">
        <v>201</v>
      </c>
      <c r="M6" s="99"/>
      <c r="N6" s="99"/>
      <c r="O6" s="99"/>
      <c r="P6" s="99"/>
    </row>
    <row r="7" spans="1:16">
      <c r="A7" s="50" t="s">
        <v>202</v>
      </c>
      <c r="B7" s="51">
        <v>0.01</v>
      </c>
      <c r="C7" s="52">
        <v>0.02</v>
      </c>
      <c r="D7" s="51">
        <v>0.03</v>
      </c>
      <c r="E7" s="52">
        <v>0.04</v>
      </c>
      <c r="F7" s="51">
        <v>0.05</v>
      </c>
      <c r="K7" s="50" t="s">
        <v>202</v>
      </c>
      <c r="L7" s="51">
        <v>0.01</v>
      </c>
      <c r="M7" s="52">
        <v>0.02</v>
      </c>
      <c r="N7" s="51">
        <v>0.03</v>
      </c>
      <c r="O7" s="52">
        <v>0.04</v>
      </c>
      <c r="P7" s="51">
        <v>0.05</v>
      </c>
    </row>
    <row r="8" spans="1:16">
      <c r="A8" s="50">
        <v>1.5</v>
      </c>
      <c r="B8" s="53">
        <f>($A8/(2*$E$3))*B$7*$B$3^2</f>
        <v>7016.1149999999998</v>
      </c>
      <c r="C8" s="53">
        <f t="shared" ref="C8:F18" si="0">($A8/(2*$E$3))*C$7*$B$3^2</f>
        <v>14032.23</v>
      </c>
      <c r="D8" s="53">
        <f t="shared" si="0"/>
        <v>21048.344999999998</v>
      </c>
      <c r="E8" s="53">
        <f t="shared" si="0"/>
        <v>28064.46</v>
      </c>
      <c r="F8" s="53">
        <f t="shared" si="0"/>
        <v>35080.575000000004</v>
      </c>
      <c r="K8" s="50">
        <v>1.5</v>
      </c>
      <c r="L8" s="53">
        <f>($K8/(2*$O$3))*L$7*$L$3^2</f>
        <v>21054</v>
      </c>
      <c r="M8" s="53">
        <f t="shared" ref="M8:P18" si="1">($K8/(2*$O$3))*M$7*$L$3^2</f>
        <v>42108</v>
      </c>
      <c r="N8" s="53">
        <f t="shared" si="1"/>
        <v>63162</v>
      </c>
      <c r="O8" s="53">
        <f t="shared" si="1"/>
        <v>84216</v>
      </c>
      <c r="P8" s="53">
        <f t="shared" si="1"/>
        <v>105270.00000000001</v>
      </c>
    </row>
    <row r="9" spans="1:16">
      <c r="A9" s="50">
        <v>2.5</v>
      </c>
      <c r="B9" s="53">
        <f t="shared" ref="B9:B18" si="2">($A9/(2*$E$3))*B$7*$B$3^2</f>
        <v>11693.525</v>
      </c>
      <c r="C9" s="53">
        <f t="shared" si="0"/>
        <v>23387.05</v>
      </c>
      <c r="D9" s="53">
        <f t="shared" si="0"/>
        <v>35080.574999999997</v>
      </c>
      <c r="E9" s="53">
        <f t="shared" si="0"/>
        <v>46774.1</v>
      </c>
      <c r="F9" s="53">
        <f t="shared" si="0"/>
        <v>58467.625</v>
      </c>
      <c r="K9" s="50">
        <v>2.5</v>
      </c>
      <c r="L9" s="53">
        <f t="shared" ref="L9:L18" si="3">($K9/(2*$O$3))*L$7*$L$3^2</f>
        <v>35090</v>
      </c>
      <c r="M9" s="53">
        <f t="shared" si="1"/>
        <v>70180</v>
      </c>
      <c r="N9" s="53">
        <f t="shared" si="1"/>
        <v>105269.99999999999</v>
      </c>
      <c r="O9" s="53">
        <f t="shared" si="1"/>
        <v>140360</v>
      </c>
      <c r="P9" s="53">
        <f t="shared" si="1"/>
        <v>175450</v>
      </c>
    </row>
    <row r="10" spans="1:16">
      <c r="A10" s="50">
        <v>4</v>
      </c>
      <c r="B10" s="53">
        <f t="shared" si="2"/>
        <v>18709.64</v>
      </c>
      <c r="C10" s="53">
        <f t="shared" si="0"/>
        <v>37419.279999999999</v>
      </c>
      <c r="D10" s="53">
        <f t="shared" si="0"/>
        <v>56128.92</v>
      </c>
      <c r="E10" s="53">
        <f t="shared" si="0"/>
        <v>74838.559999999998</v>
      </c>
      <c r="F10" s="53">
        <f t="shared" si="0"/>
        <v>93548.200000000012</v>
      </c>
      <c r="K10" s="50">
        <v>4</v>
      </c>
      <c r="L10" s="53">
        <f t="shared" si="3"/>
        <v>56143.999999999993</v>
      </c>
      <c r="M10" s="53">
        <f t="shared" si="1"/>
        <v>112287.99999999999</v>
      </c>
      <c r="N10" s="53">
        <f t="shared" si="1"/>
        <v>168432</v>
      </c>
      <c r="O10" s="53">
        <f t="shared" si="1"/>
        <v>224575.99999999997</v>
      </c>
      <c r="P10" s="53">
        <f t="shared" si="1"/>
        <v>280720.00000000006</v>
      </c>
    </row>
    <row r="11" spans="1:16">
      <c r="A11" s="50">
        <v>6</v>
      </c>
      <c r="B11" s="53">
        <f t="shared" si="2"/>
        <v>28064.46</v>
      </c>
      <c r="C11" s="53">
        <f t="shared" si="0"/>
        <v>56128.92</v>
      </c>
      <c r="D11" s="53">
        <f t="shared" si="0"/>
        <v>84193.37999999999</v>
      </c>
      <c r="E11" s="53">
        <f t="shared" si="0"/>
        <v>112257.84</v>
      </c>
      <c r="F11" s="53">
        <f t="shared" si="0"/>
        <v>140322.30000000002</v>
      </c>
      <c r="K11" s="50">
        <v>6</v>
      </c>
      <c r="L11" s="53">
        <f t="shared" si="3"/>
        <v>84216</v>
      </c>
      <c r="M11" s="53">
        <f t="shared" si="1"/>
        <v>168432</v>
      </c>
      <c r="N11" s="53">
        <f t="shared" si="1"/>
        <v>252648</v>
      </c>
      <c r="O11" s="53">
        <f t="shared" si="1"/>
        <v>336864</v>
      </c>
      <c r="P11" s="53">
        <f t="shared" si="1"/>
        <v>421080.00000000006</v>
      </c>
    </row>
    <row r="12" spans="1:16">
      <c r="A12" s="50">
        <v>10</v>
      </c>
      <c r="B12" s="53">
        <f t="shared" si="2"/>
        <v>46774.1</v>
      </c>
      <c r="C12" s="53">
        <f t="shared" si="0"/>
        <v>93548.2</v>
      </c>
      <c r="D12" s="53">
        <f t="shared" si="0"/>
        <v>140322.29999999999</v>
      </c>
      <c r="E12" s="53">
        <f t="shared" si="0"/>
        <v>187096.4</v>
      </c>
      <c r="F12" s="53">
        <f t="shared" si="0"/>
        <v>233870.5</v>
      </c>
      <c r="K12" s="50">
        <v>10</v>
      </c>
      <c r="L12" s="53">
        <f t="shared" si="3"/>
        <v>140360</v>
      </c>
      <c r="M12" s="53">
        <f t="shared" si="1"/>
        <v>280720</v>
      </c>
      <c r="N12" s="53">
        <f t="shared" si="1"/>
        <v>421079.99999999994</v>
      </c>
      <c r="O12" s="53">
        <f t="shared" si="1"/>
        <v>561440</v>
      </c>
      <c r="P12" s="53">
        <f t="shared" si="1"/>
        <v>701800</v>
      </c>
    </row>
    <row r="13" spans="1:16">
      <c r="A13" s="50">
        <v>16</v>
      </c>
      <c r="B13" s="53">
        <f t="shared" si="2"/>
        <v>74838.559999999998</v>
      </c>
      <c r="C13" s="53">
        <f t="shared" si="0"/>
        <v>149677.12</v>
      </c>
      <c r="D13" s="53">
        <f t="shared" si="0"/>
        <v>224515.68</v>
      </c>
      <c r="E13" s="53">
        <f t="shared" si="0"/>
        <v>299354.23999999999</v>
      </c>
      <c r="F13" s="53">
        <f t="shared" si="0"/>
        <v>374192.80000000005</v>
      </c>
      <c r="K13" s="50">
        <v>16</v>
      </c>
      <c r="L13" s="53">
        <f t="shared" si="3"/>
        <v>224575.99999999997</v>
      </c>
      <c r="M13" s="53">
        <f t="shared" si="1"/>
        <v>449151.99999999994</v>
      </c>
      <c r="N13" s="53">
        <f t="shared" si="1"/>
        <v>673728</v>
      </c>
      <c r="O13" s="53">
        <f t="shared" si="1"/>
        <v>898303.99999999988</v>
      </c>
      <c r="P13" s="53">
        <f t="shared" si="1"/>
        <v>1122880.0000000002</v>
      </c>
    </row>
    <row r="14" spans="1:16">
      <c r="A14" s="50">
        <v>25</v>
      </c>
      <c r="B14" s="53">
        <f t="shared" si="2"/>
        <v>116935.25</v>
      </c>
      <c r="C14" s="53">
        <f t="shared" si="0"/>
        <v>233870.5</v>
      </c>
      <c r="D14" s="53">
        <f t="shared" si="0"/>
        <v>350805.75</v>
      </c>
      <c r="E14" s="53">
        <f t="shared" si="0"/>
        <v>467741</v>
      </c>
      <c r="F14" s="53">
        <f t="shared" si="0"/>
        <v>584676.25</v>
      </c>
      <c r="K14" s="50">
        <v>25</v>
      </c>
      <c r="L14" s="53">
        <f t="shared" si="3"/>
        <v>350900</v>
      </c>
      <c r="M14" s="53">
        <f t="shared" si="1"/>
        <v>701800</v>
      </c>
      <c r="N14" s="53">
        <f t="shared" si="1"/>
        <v>1052700</v>
      </c>
      <c r="O14" s="53">
        <f t="shared" si="1"/>
        <v>1403600</v>
      </c>
      <c r="P14" s="53">
        <f t="shared" si="1"/>
        <v>1754500</v>
      </c>
    </row>
    <row r="15" spans="1:16">
      <c r="A15" s="50">
        <v>35</v>
      </c>
      <c r="B15" s="53">
        <f t="shared" si="2"/>
        <v>163709.35</v>
      </c>
      <c r="C15" s="53">
        <f t="shared" si="0"/>
        <v>327418.7</v>
      </c>
      <c r="D15" s="53">
        <f t="shared" si="0"/>
        <v>491128.05</v>
      </c>
      <c r="E15" s="53">
        <f t="shared" si="0"/>
        <v>654837.4</v>
      </c>
      <c r="F15" s="53">
        <f t="shared" si="0"/>
        <v>818546.75</v>
      </c>
      <c r="K15" s="50">
        <v>35</v>
      </c>
      <c r="L15" s="53">
        <f t="shared" si="3"/>
        <v>491260</v>
      </c>
      <c r="M15" s="53">
        <f t="shared" si="1"/>
        <v>982520</v>
      </c>
      <c r="N15" s="53">
        <f t="shared" si="1"/>
        <v>1473780</v>
      </c>
      <c r="O15" s="53">
        <f t="shared" si="1"/>
        <v>1965040</v>
      </c>
      <c r="P15" s="53">
        <f t="shared" si="1"/>
        <v>2456300</v>
      </c>
    </row>
    <row r="16" spans="1:16">
      <c r="A16" s="50">
        <v>50</v>
      </c>
      <c r="B16" s="53">
        <f t="shared" si="2"/>
        <v>233870.5</v>
      </c>
      <c r="C16" s="53">
        <f t="shared" si="0"/>
        <v>467741</v>
      </c>
      <c r="D16" s="53">
        <f t="shared" si="0"/>
        <v>701611.5</v>
      </c>
      <c r="E16" s="53">
        <f t="shared" si="0"/>
        <v>935482</v>
      </c>
      <c r="F16" s="53">
        <f t="shared" si="0"/>
        <v>1169352.5</v>
      </c>
      <c r="K16" s="50">
        <v>50</v>
      </c>
      <c r="L16" s="53">
        <f t="shared" si="3"/>
        <v>701800</v>
      </c>
      <c r="M16" s="53">
        <f t="shared" si="1"/>
        <v>1403600</v>
      </c>
      <c r="N16" s="53">
        <f t="shared" si="1"/>
        <v>2105400</v>
      </c>
      <c r="O16" s="53">
        <f t="shared" si="1"/>
        <v>2807200</v>
      </c>
      <c r="P16" s="53">
        <f t="shared" si="1"/>
        <v>3509000</v>
      </c>
    </row>
    <row r="17" spans="1:16">
      <c r="A17" s="50">
        <v>70</v>
      </c>
      <c r="B17" s="53">
        <f t="shared" si="2"/>
        <v>327418.7</v>
      </c>
      <c r="C17" s="53">
        <f t="shared" si="0"/>
        <v>654837.4</v>
      </c>
      <c r="D17" s="53">
        <f t="shared" si="0"/>
        <v>982256.1</v>
      </c>
      <c r="E17" s="53">
        <f t="shared" si="0"/>
        <v>1309674.8</v>
      </c>
      <c r="F17" s="53">
        <f t="shared" si="0"/>
        <v>1637093.5</v>
      </c>
      <c r="K17" s="50">
        <v>70</v>
      </c>
      <c r="L17" s="53">
        <f t="shared" si="3"/>
        <v>982520</v>
      </c>
      <c r="M17" s="53">
        <f t="shared" si="1"/>
        <v>1965040</v>
      </c>
      <c r="N17" s="53">
        <f t="shared" si="1"/>
        <v>2947560</v>
      </c>
      <c r="O17" s="53">
        <f t="shared" si="1"/>
        <v>3930080</v>
      </c>
      <c r="P17" s="53">
        <f t="shared" si="1"/>
        <v>4912600</v>
      </c>
    </row>
    <row r="18" spans="1:16">
      <c r="A18" s="50">
        <v>95</v>
      </c>
      <c r="B18" s="53">
        <f t="shared" si="2"/>
        <v>444353.95</v>
      </c>
      <c r="C18" s="53">
        <f t="shared" si="0"/>
        <v>888707.9</v>
      </c>
      <c r="D18" s="53">
        <f t="shared" si="0"/>
        <v>1333061.8499999999</v>
      </c>
      <c r="E18" s="53">
        <f t="shared" si="0"/>
        <v>1777415.8</v>
      </c>
      <c r="F18" s="53">
        <f t="shared" si="0"/>
        <v>2221769.75</v>
      </c>
      <c r="K18" s="50">
        <v>95</v>
      </c>
      <c r="L18" s="53">
        <f t="shared" si="3"/>
        <v>1333420</v>
      </c>
      <c r="M18" s="53">
        <f t="shared" si="1"/>
        <v>2666840</v>
      </c>
      <c r="N18" s="53">
        <f t="shared" si="1"/>
        <v>4000259.9999999995</v>
      </c>
      <c r="O18" s="53">
        <f t="shared" si="1"/>
        <v>5333680</v>
      </c>
      <c r="P18" s="53">
        <f t="shared" si="1"/>
        <v>6667100</v>
      </c>
    </row>
    <row r="20" spans="1:16">
      <c r="K20" s="47" t="s">
        <v>204</v>
      </c>
    </row>
  </sheetData>
  <mergeCells count="4">
    <mergeCell ref="B6:F6"/>
    <mergeCell ref="A4:F4"/>
    <mergeCell ref="K4:P4"/>
    <mergeCell ref="L6:P6"/>
  </mergeCells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Plan9"/>
  <dimension ref="A1:B13"/>
  <sheetViews>
    <sheetView workbookViewId="0">
      <selection activeCell="B2" sqref="B2"/>
    </sheetView>
  </sheetViews>
  <sheetFormatPr defaultColWidth="19.140625" defaultRowHeight="15"/>
  <sheetData>
    <row r="1" spans="1:2" ht="45">
      <c r="A1" s="62" t="s">
        <v>210</v>
      </c>
      <c r="B1" s="62" t="s">
        <v>211</v>
      </c>
    </row>
    <row r="2" spans="1:2">
      <c r="A2" s="61">
        <v>25</v>
      </c>
      <c r="B2" s="61" t="s">
        <v>212</v>
      </c>
    </row>
    <row r="3" spans="1:2">
      <c r="A3" s="61">
        <v>35</v>
      </c>
      <c r="B3" s="61">
        <v>25</v>
      </c>
    </row>
    <row r="4" spans="1:2">
      <c r="A4" s="61">
        <v>50</v>
      </c>
      <c r="B4" s="61">
        <v>25</v>
      </c>
    </row>
    <row r="5" spans="1:2">
      <c r="A5" s="61">
        <v>70</v>
      </c>
      <c r="B5" s="61">
        <v>35</v>
      </c>
    </row>
    <row r="6" spans="1:2">
      <c r="A6" s="61">
        <v>95</v>
      </c>
      <c r="B6" s="61">
        <v>50</v>
      </c>
    </row>
    <row r="7" spans="1:2">
      <c r="A7" s="61">
        <v>120</v>
      </c>
      <c r="B7" s="61">
        <v>70</v>
      </c>
    </row>
    <row r="8" spans="1:2">
      <c r="A8" s="61">
        <v>150</v>
      </c>
      <c r="B8" s="61">
        <v>70</v>
      </c>
    </row>
    <row r="9" spans="1:2">
      <c r="A9" s="61">
        <v>185</v>
      </c>
      <c r="B9" s="61">
        <v>95</v>
      </c>
    </row>
    <row r="10" spans="1:2">
      <c r="A10" s="61">
        <v>240</v>
      </c>
      <c r="B10" s="61">
        <v>120</v>
      </c>
    </row>
    <row r="11" spans="1:2">
      <c r="A11" s="61">
        <v>300</v>
      </c>
      <c r="B11" s="61">
        <v>150</v>
      </c>
    </row>
    <row r="12" spans="1:2">
      <c r="A12" s="61">
        <v>400</v>
      </c>
      <c r="B12" s="61">
        <v>185</v>
      </c>
    </row>
    <row r="13" spans="1:2">
      <c r="A13" s="63" t="s">
        <v>213</v>
      </c>
      <c r="B13" s="60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0"/>
  <dimension ref="A1:B6"/>
  <sheetViews>
    <sheetView workbookViewId="0">
      <selection activeCell="A2" sqref="A2"/>
    </sheetView>
  </sheetViews>
  <sheetFormatPr defaultColWidth="18.140625" defaultRowHeight="15"/>
  <sheetData>
    <row r="1" spans="1:2" ht="45">
      <c r="A1" s="62" t="s">
        <v>210</v>
      </c>
      <c r="B1" s="62" t="s">
        <v>211</v>
      </c>
    </row>
    <row r="2" spans="1:2">
      <c r="A2" s="61" t="s">
        <v>214</v>
      </c>
      <c r="B2" s="61" t="s">
        <v>212</v>
      </c>
    </row>
    <row r="3" spans="1:2">
      <c r="A3" s="61">
        <v>35</v>
      </c>
      <c r="B3" s="61">
        <v>16</v>
      </c>
    </row>
    <row r="4" spans="1:2">
      <c r="A4" s="61" t="s">
        <v>215</v>
      </c>
      <c r="B4" s="61" t="s">
        <v>216</v>
      </c>
    </row>
    <row r="5" spans="1:2">
      <c r="A5" s="61"/>
      <c r="B5" s="61"/>
    </row>
    <row r="6" spans="1:2">
      <c r="A6" s="61"/>
      <c r="B6" s="6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Parte 1</vt:lpstr>
      <vt:lpstr>Parte 2</vt:lpstr>
      <vt:lpstr>Eletrodutos</vt:lpstr>
      <vt:lpstr>Plan2</vt:lpstr>
      <vt:lpstr>Tabelas</vt:lpstr>
      <vt:lpstr>Tabela36</vt:lpstr>
      <vt:lpstr>TAbela 37</vt:lpstr>
      <vt:lpstr>Tabela 38</vt:lpstr>
      <vt:lpstr>Queda</vt:lpstr>
      <vt:lpstr>Tabela 48</vt:lpstr>
      <vt:lpstr>Tabela 58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Netzer</dc:creator>
  <cp:lastModifiedBy>Netzer</cp:lastModifiedBy>
  <dcterms:created xsi:type="dcterms:W3CDTF">2017-06-23T23:33:08Z</dcterms:created>
  <dcterms:modified xsi:type="dcterms:W3CDTF">2017-07-29T23:59:01Z</dcterms:modified>
</cp:coreProperties>
</file>